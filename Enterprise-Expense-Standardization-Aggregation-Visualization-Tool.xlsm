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ha\Downloads\prof\"/>
    </mc:Choice>
  </mc:AlternateContent>
  <xr:revisionPtr revIDLastSave="0" documentId="13_ncr:1_{43D4F6D2-0059-4C53-81B3-5842F211B107}" xr6:coauthVersionLast="47" xr6:coauthVersionMax="47" xr10:uidLastSave="{00000000-0000-0000-0000-000000000000}"/>
  <bookViews>
    <workbookView xWindow="37050" yWindow="-19530" windowWidth="17280" windowHeight="12765" firstSheet="10" activeTab="11" xr2:uid="{00000000-000D-0000-FFFF-FFFF00000000}"/>
  </bookViews>
  <sheets>
    <sheet name="RawData Quarter 2 Expenses_1" sheetId="298" r:id="rId1"/>
    <sheet name="Quarter 2 Expenses" sheetId="299" r:id="rId2"/>
    <sheet name="Pivot Table for Quarter 2" sheetId="300" r:id="rId3"/>
    <sheet name="RawData Quarter 3 Expenses_1" sheetId="301" r:id="rId4"/>
    <sheet name="Quarter 3 Expenses" sheetId="302" r:id="rId5"/>
    <sheet name="Pivot Table for Quarter 3" sheetId="303" r:id="rId6"/>
    <sheet name="RawData Quarter 1 Expenses_1" sheetId="304" r:id="rId7"/>
    <sheet name="Quarter 1 Expenses" sheetId="305" r:id="rId8"/>
    <sheet name="Pivot Table for Quarter 1" sheetId="306" r:id="rId9"/>
    <sheet name="RawData Quarter 4 Expenses_1" sheetId="307" r:id="rId10"/>
    <sheet name="Quarter 4 Expenses" sheetId="308" r:id="rId11"/>
    <sheet name="Pivot Table for Quarter 4" sheetId="309" r:id="rId12"/>
  </sheets>
  <functionGroups builtInGroupCount="19"/>
  <calcPr calcId="181029"/>
  <pivotCaches>
    <pivotCache cacheId="95" r:id="rId13"/>
    <pivotCache cacheId="100" r:id="rId14"/>
    <pivotCache cacheId="105" r:id="rId15"/>
    <pivotCache cacheId="110" r:id="rId1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308" l="1"/>
  <c r="F19" i="308"/>
  <c r="F18" i="308"/>
  <c r="F17" i="308"/>
  <c r="F16" i="308"/>
  <c r="F15" i="308"/>
  <c r="F14" i="308"/>
  <c r="F13" i="308"/>
  <c r="F12" i="308"/>
  <c r="F11" i="308"/>
  <c r="F10" i="308"/>
  <c r="F9" i="308"/>
  <c r="F8" i="308"/>
  <c r="F7" i="308"/>
  <c r="F6" i="308"/>
  <c r="F5" i="308"/>
  <c r="F4" i="308"/>
  <c r="F3" i="308"/>
  <c r="F2" i="308"/>
  <c r="F21" i="307"/>
  <c r="F20" i="307"/>
  <c r="F19" i="307"/>
  <c r="F18" i="307"/>
  <c r="F17" i="307"/>
  <c r="F16" i="307"/>
  <c r="F15" i="307"/>
  <c r="F14" i="307"/>
  <c r="F13" i="307"/>
  <c r="F12" i="307"/>
  <c r="F11" i="307"/>
  <c r="F10" i="307"/>
  <c r="F9" i="307"/>
  <c r="F8" i="307"/>
  <c r="F7" i="307"/>
  <c r="F6" i="307"/>
  <c r="F5" i="307"/>
  <c r="F4" i="307"/>
  <c r="F3" i="307"/>
  <c r="F2" i="307"/>
  <c r="F20" i="305"/>
  <c r="F19" i="305"/>
  <c r="F18" i="305"/>
  <c r="F17" i="305"/>
  <c r="F16" i="305"/>
  <c r="F15" i="305"/>
  <c r="F14" i="305"/>
  <c r="F13" i="305"/>
  <c r="F12" i="305"/>
  <c r="F11" i="305"/>
  <c r="F10" i="305"/>
  <c r="F9" i="305"/>
  <c r="F8" i="305"/>
  <c r="F7" i="305"/>
  <c r="F6" i="305"/>
  <c r="F5" i="305"/>
  <c r="F4" i="305"/>
  <c r="F3" i="305"/>
  <c r="F2" i="305"/>
  <c r="F21" i="304"/>
  <c r="F20" i="304"/>
  <c r="F19" i="304"/>
  <c r="F18" i="304"/>
  <c r="F17" i="304"/>
  <c r="F16" i="304"/>
  <c r="F15" i="304"/>
  <c r="F14" i="304"/>
  <c r="F13" i="304"/>
  <c r="F12" i="304"/>
  <c r="F11" i="304"/>
  <c r="F10" i="304"/>
  <c r="F9" i="304"/>
  <c r="F8" i="304"/>
  <c r="F7" i="304"/>
  <c r="F6" i="304"/>
  <c r="F5" i="304"/>
  <c r="F4" i="304"/>
  <c r="F3" i="304"/>
  <c r="F2" i="304"/>
  <c r="F20" i="302"/>
  <c r="F19" i="302"/>
  <c r="F18" i="302"/>
  <c r="F17" i="302"/>
  <c r="F16" i="302"/>
  <c r="F15" i="302"/>
  <c r="F14" i="302"/>
  <c r="F13" i="302"/>
  <c r="F12" i="302"/>
  <c r="F11" i="302"/>
  <c r="F10" i="302"/>
  <c r="F9" i="302"/>
  <c r="F8" i="302"/>
  <c r="F7" i="302"/>
  <c r="F6" i="302"/>
  <c r="F5" i="302"/>
  <c r="F4" i="302"/>
  <c r="F3" i="302"/>
  <c r="F2" i="302"/>
  <c r="F21" i="301"/>
  <c r="F20" i="301"/>
  <c r="F19" i="301"/>
  <c r="F18" i="301"/>
  <c r="F17" i="301"/>
  <c r="F16" i="301"/>
  <c r="F15" i="301"/>
  <c r="F14" i="301"/>
  <c r="F13" i="301"/>
  <c r="F12" i="301"/>
  <c r="F11" i="301"/>
  <c r="F10" i="301"/>
  <c r="F9" i="301"/>
  <c r="F8" i="301"/>
  <c r="F7" i="301"/>
  <c r="F6" i="301"/>
  <c r="F5" i="301"/>
  <c r="F4" i="301"/>
  <c r="F3" i="301"/>
  <c r="F2" i="301"/>
  <c r="F20" i="299"/>
  <c r="F19" i="299"/>
  <c r="F18" i="299"/>
  <c r="F17" i="299"/>
  <c r="F16" i="299"/>
  <c r="F15" i="299"/>
  <c r="F14" i="299"/>
  <c r="F13" i="299"/>
  <c r="F12" i="299"/>
  <c r="F11" i="299"/>
  <c r="F10" i="299"/>
  <c r="F9" i="299"/>
  <c r="F8" i="299"/>
  <c r="F7" i="299"/>
  <c r="F6" i="299"/>
  <c r="F5" i="299"/>
  <c r="F4" i="299"/>
  <c r="F3" i="299"/>
  <c r="F2" i="299"/>
  <c r="F21" i="298"/>
  <c r="F20" i="298"/>
  <c r="F19" i="298"/>
  <c r="F18" i="298"/>
  <c r="F17" i="298"/>
  <c r="F16" i="298"/>
  <c r="F15" i="298"/>
  <c r="F14" i="298"/>
  <c r="F13" i="298"/>
  <c r="F12" i="298"/>
  <c r="F11" i="298"/>
  <c r="F10" i="298"/>
  <c r="F9" i="298"/>
  <c r="F8" i="298"/>
  <c r="F7" i="298"/>
  <c r="F6" i="298"/>
  <c r="F5" i="298"/>
  <c r="F4" i="298"/>
  <c r="F3" i="298"/>
  <c r="F2" i="298"/>
</calcChain>
</file>

<file path=xl/sharedStrings.xml><?xml version="1.0" encoding="utf-8"?>
<sst xmlns="http://schemas.openxmlformats.org/spreadsheetml/2006/main" count="554" uniqueCount="85">
  <si>
    <t>Division</t>
  </si>
  <si>
    <t>Category</t>
  </si>
  <si>
    <t>Total</t>
  </si>
  <si>
    <t>South</t>
  </si>
  <si>
    <t>Technical Support</t>
  </si>
  <si>
    <t>West</t>
  </si>
  <si>
    <t>Rent</t>
  </si>
  <si>
    <t>East</t>
  </si>
  <si>
    <t>North</t>
  </si>
  <si>
    <t>Maintenance</t>
  </si>
  <si>
    <t>Clerical Support</t>
  </si>
  <si>
    <t>Copying</t>
  </si>
  <si>
    <t>Contractors</t>
  </si>
  <si>
    <t>Telemarketing</t>
  </si>
  <si>
    <t>Software</t>
  </si>
  <si>
    <t>Salaries</t>
  </si>
  <si>
    <t>Miscellaneous</t>
  </si>
  <si>
    <t>Telephone</t>
  </si>
  <si>
    <t>Supplies</t>
  </si>
  <si>
    <t>Overhead</t>
  </si>
  <si>
    <t>Advertising</t>
  </si>
  <si>
    <t>Consultants</t>
  </si>
  <si>
    <t>Apr</t>
  </si>
  <si>
    <t>May</t>
  </si>
  <si>
    <t>Jun</t>
  </si>
  <si>
    <t>Oct</t>
  </si>
  <si>
    <t>Nov</t>
  </si>
  <si>
    <t>Dec</t>
  </si>
  <si>
    <t>Key</t>
  </si>
  <si>
    <t>East|Telemarketing</t>
  </si>
  <si>
    <t>East|Clerical Support</t>
  </si>
  <si>
    <t>South|Advertising</t>
  </si>
  <si>
    <t>East|Maintenance</t>
  </si>
  <si>
    <t>North|Telephone</t>
  </si>
  <si>
    <t>West|Advertising</t>
  </si>
  <si>
    <t>West|Copying</t>
  </si>
  <si>
    <t>West|Miscellaneous</t>
  </si>
  <si>
    <t>South|Telephone</t>
  </si>
  <si>
    <t>Jul</t>
  </si>
  <si>
    <t>Aug</t>
  </si>
  <si>
    <t>Sep</t>
  </si>
  <si>
    <t>North|Salaries</t>
  </si>
  <si>
    <t>West|Clerical Support</t>
  </si>
  <si>
    <t>South|Salaries</t>
  </si>
  <si>
    <t>North|Overhead</t>
  </si>
  <si>
    <t>East|Supplies</t>
  </si>
  <si>
    <t>South|Maintenance</t>
  </si>
  <si>
    <t>East|Software</t>
  </si>
  <si>
    <t>South|Copying</t>
  </si>
  <si>
    <t>South|Rent</t>
  </si>
  <si>
    <t>East|Salaries</t>
  </si>
  <si>
    <t>North|Consultants</t>
  </si>
  <si>
    <t>West|Telemarketing</t>
  </si>
  <si>
    <t>East|Copying</t>
  </si>
  <si>
    <t>East|Contractors</t>
  </si>
  <si>
    <t>South|Supplies</t>
  </si>
  <si>
    <t>North|Software</t>
  </si>
  <si>
    <t>Jan</t>
  </si>
  <si>
    <t>Feb</t>
  </si>
  <si>
    <t>Mar</t>
  </si>
  <si>
    <t>South|Clerical Support</t>
  </si>
  <si>
    <t>South|Telemarketing</t>
  </si>
  <si>
    <t>West|Contractors</t>
  </si>
  <si>
    <t>West|Rent</t>
  </si>
  <si>
    <t>North|Telemarketing</t>
  </si>
  <si>
    <t>North|Technical Support</t>
  </si>
  <si>
    <t>North|Rent</t>
  </si>
  <si>
    <t>East|Telephone</t>
  </si>
  <si>
    <t>South|Miscellaneous</t>
  </si>
  <si>
    <t>West|Overhead</t>
  </si>
  <si>
    <t>North|Supplies</t>
  </si>
  <si>
    <t>West|Salaries</t>
  </si>
  <si>
    <t>North|Copying</t>
  </si>
  <si>
    <t>North|Clerical Support</t>
  </si>
  <si>
    <t>North|Maintenance</t>
  </si>
  <si>
    <t>South|Software</t>
  </si>
  <si>
    <t>East|Overhead</t>
  </si>
  <si>
    <t>East|Advertising</t>
  </si>
  <si>
    <t>West|Supplies</t>
  </si>
  <si>
    <t>Grand Total</t>
  </si>
  <si>
    <t>Sum of Total</t>
  </si>
  <si>
    <t>East Total</t>
  </si>
  <si>
    <t>North Total</t>
  </si>
  <si>
    <t>South Total</t>
  </si>
  <si>
    <t>West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</si>
</sst>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2" fillId="2" borderId="0" xfId="0" applyFont="1" applyFill="1"/>
    <xf numFmtId="44" fontId="0" fillId="0" borderId="0" xfId="1" applyFont="1"/>
    <xf numFmtId="44" fontId="2" fillId="2" borderId="0" xfId="1" applyFont="1" applyFill="1"/>
    <xf numFmtId="0" fontId="0" fillId="0" borderId="0" xfId="0" pivotButton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ia Vorsina" refreshedDate="46080.108976157404" createdVersion="8" refreshedVersion="8" minRefreshableVersion="3" recordCount="19" xr:uid="{0EDEE13C-B931-411D-8497-EAB38B784F2D}">
  <cacheSource type="worksheet">
    <worksheetSource ref="A1:F20" sheet="Quarter 2 Expenses"/>
  </cacheSource>
  <cacheFields count="6">
    <cacheField name="Division" numFmtId="0">
      <sharedItems count="4">
        <s v="North"/>
        <s v="West"/>
        <s v="East"/>
        <s v="South"/>
      </sharedItems>
    </cacheField>
    <cacheField name="Category" numFmtId="0">
      <sharedItems count="12">
        <s v="Rent"/>
        <s v="Contractors"/>
        <s v="Maintenance"/>
        <s v="Advertising"/>
        <s v="Salaries"/>
        <s v="Supplies"/>
        <s v="Software"/>
        <s v="Overhead"/>
        <s v="Miscellaneous"/>
        <s v="Clerical Support"/>
        <s v="Consultants"/>
        <s v="Technical Support"/>
      </sharedItems>
    </cacheField>
    <cacheField name="Apr" numFmtId="44">
      <sharedItems containsSemiMixedTypes="0" containsString="0" containsNumber="1" minValue="674.239990234375" maxValue="4926.490234375"/>
    </cacheField>
    <cacheField name="May" numFmtId="44">
      <sharedItems containsSemiMixedTypes="0" containsString="0" containsNumber="1" minValue="207.71000671386719" maxValue="5107.52978515625"/>
    </cacheField>
    <cacheField name="Jun" numFmtId="44">
      <sharedItems containsSemiMixedTypes="0" containsString="0" containsNumber="1" minValue="571.92999267578125" maxValue="4828.91015625"/>
    </cacheField>
    <cacheField name="Total" numFmtId="44">
      <sharedItems containsSemiMixedTypes="0" containsString="0" containsNumber="1" minValue="5059.1201171875" maxValue="11507.640380859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ia Vorsina" refreshedDate="46080.109112731479" createdVersion="8" refreshedVersion="8" minRefreshableVersion="3" recordCount="19" xr:uid="{5C7D5888-241A-4DD3-A0E2-E4CEA72B3CD3}">
  <cacheSource type="worksheet">
    <worksheetSource ref="A1:F20" sheet="Quarter 3 Expenses"/>
  </cacheSource>
  <cacheFields count="6">
    <cacheField name="Division" numFmtId="0">
      <sharedItems count="4">
        <s v="East"/>
        <s v="South"/>
        <s v="North"/>
        <s v="West"/>
      </sharedItems>
    </cacheField>
    <cacheField name="Category" numFmtId="0">
      <sharedItems count="10">
        <s v="Supplies"/>
        <s v="Miscellaneous"/>
        <s v="Copying"/>
        <s v="Rent"/>
        <s v="Clerical Support"/>
        <s v="Telephone"/>
        <s v="Telemarketing"/>
        <s v="Software"/>
        <s v="Overhead"/>
        <s v="Maintenance"/>
      </sharedItems>
    </cacheField>
    <cacheField name="Jul" numFmtId="44">
      <sharedItems containsSemiMixedTypes="0" containsString="0" containsNumber="1" minValue="301.26998901367188" maxValue="5089.43994140625"/>
    </cacheField>
    <cacheField name="Aug" numFmtId="44">
      <sharedItems containsSemiMixedTypes="0" containsString="0" containsNumber="1" minValue="458.85000610351563" maxValue="5172.39990234375"/>
    </cacheField>
    <cacheField name="Sep" numFmtId="44">
      <sharedItems containsSemiMixedTypes="0" containsString="0" containsNumber="1" minValue="245.42999267578125" maxValue="4850.8798828125"/>
    </cacheField>
    <cacheField name="Total" numFmtId="44">
      <sharedItems containsSemiMixedTypes="0" containsString="0" containsNumber="1" minValue="3954.5699462890625" maxValue="13085.479980468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ia Vorsina" refreshedDate="46080.109665856478" createdVersion="8" refreshedVersion="8" minRefreshableVersion="3" recordCount="19" xr:uid="{F1FE8B0F-EE81-47F5-B7BA-AE55CD0848BC}">
  <cacheSource type="worksheet">
    <worksheetSource ref="A1:F20" sheet="Quarter 1 Expenses"/>
  </cacheSource>
  <cacheFields count="6">
    <cacheField name="Division" numFmtId="0">
      <sharedItems count="4">
        <s v="West"/>
        <s v="South"/>
        <s v="North"/>
        <s v="East"/>
      </sharedItems>
    </cacheField>
    <cacheField name="Category" numFmtId="0">
      <sharedItems count="9">
        <s v="Overhead"/>
        <s v="Salaries"/>
        <s v="Rent"/>
        <s v="Clerical Support"/>
        <s v="Telemarketing"/>
        <s v="Copying"/>
        <s v="Advertising"/>
        <s v="Software"/>
        <s v="Maintenance"/>
      </sharedItems>
    </cacheField>
    <cacheField name="Jan" numFmtId="44">
      <sharedItems containsSemiMixedTypes="0" containsString="0" containsNumber="1" minValue="268.54000854492188" maxValue="4962.7001953125"/>
    </cacheField>
    <cacheField name="Feb" numFmtId="44">
      <sharedItems containsSemiMixedTypes="0" containsString="0" containsNumber="1" minValue="251.25" maxValue="5198.93017578125"/>
    </cacheField>
    <cacheField name="Mar" numFmtId="44">
      <sharedItems containsSemiMixedTypes="0" containsString="0" containsNumber="1" minValue="265.57998657226563" maxValue="5035.830078125"/>
    </cacheField>
    <cacheField name="Total" numFmtId="44">
      <sharedItems containsSemiMixedTypes="0" containsString="0" containsNumber="1" minValue="3098.9300231933594" maxValue="12631.6203613281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ia Vorsina" refreshedDate="46080.110120949073" createdVersion="8" refreshedVersion="8" minRefreshableVersion="3" recordCount="19" xr:uid="{6CCBEE04-69EE-4935-A900-DEE67DD09182}">
  <cacheSource type="worksheet">
    <worksheetSource ref="A1:F20" sheet="Quarter 4 Expenses"/>
  </cacheSource>
  <cacheFields count="6">
    <cacheField name="Division" numFmtId="0">
      <sharedItems count="4">
        <s v="South"/>
        <s v="West"/>
        <s v="East"/>
        <s v="North"/>
      </sharedItems>
    </cacheField>
    <cacheField name="Category" numFmtId="0">
      <sharedItems count="10">
        <s v="Telephone"/>
        <s v="Salaries"/>
        <s v="Contractors"/>
        <s v="Advertising"/>
        <s v="Clerical Support"/>
        <s v="Supplies"/>
        <s v="Overhead"/>
        <s v="Telemarketing"/>
        <s v="Miscellaneous"/>
        <s v="Maintenance"/>
      </sharedItems>
    </cacheField>
    <cacheField name="Oct" numFmtId="44">
      <sharedItems containsSemiMixedTypes="0" containsString="0" containsNumber="1" minValue="296.92999267578125" maxValue="5143.93017578125"/>
    </cacheField>
    <cacheField name="Nov" numFmtId="44">
      <sharedItems containsSemiMixedTypes="0" containsString="0" containsNumber="1" minValue="462.32000732421875" maxValue="5101.52001953125"/>
    </cacheField>
    <cacheField name="Dec" numFmtId="44">
      <sharedItems containsSemiMixedTypes="0" containsString="0" containsNumber="1" minValue="273.04000854492188" maxValue="4871.89013671875"/>
    </cacheField>
    <cacheField name="Total" numFmtId="44">
      <sharedItems containsSemiMixedTypes="0" containsString="0" containsNumber="1" minValue="3897.4100952148438" maxValue="12370.319824218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n v="2794.64990234375"/>
    <n v="207.71000671386719"/>
    <n v="2764.3701171875"/>
    <n v="5766.7300262451172"/>
  </r>
  <r>
    <x v="1"/>
    <x v="1"/>
    <n v="674.239990234375"/>
    <n v="3490.010009765625"/>
    <n v="4341.72021484375"/>
    <n v="8505.97021484375"/>
  </r>
  <r>
    <x v="2"/>
    <x v="2"/>
    <n v="3346.14990234375"/>
    <n v="4588.97021484375"/>
    <n v="2138.280029296875"/>
    <n v="10073.400146484375"/>
  </r>
  <r>
    <x v="3"/>
    <x v="3"/>
    <n v="2394.989990234375"/>
    <n v="4761.47021484375"/>
    <n v="4351.18017578125"/>
    <n v="11507.640380859375"/>
  </r>
  <r>
    <x v="2"/>
    <x v="4"/>
    <n v="2108.580078125"/>
    <n v="533.72998046875"/>
    <n v="3232.830078125"/>
    <n v="5875.14013671875"/>
  </r>
  <r>
    <x v="1"/>
    <x v="5"/>
    <n v="3356.6201171875"/>
    <n v="2612.050048828125"/>
    <n v="1718.02001953125"/>
    <n v="7686.690185546875"/>
  </r>
  <r>
    <x v="2"/>
    <x v="6"/>
    <n v="2549.080078125"/>
    <n v="1117.1300048828125"/>
    <n v="1392.9100341796875"/>
    <n v="5059.1201171875"/>
  </r>
  <r>
    <x v="2"/>
    <x v="7"/>
    <n v="4051.8798828125"/>
    <n v="758.83001708984375"/>
    <n v="4705.0498046875"/>
    <n v="9515.7597045898438"/>
  </r>
  <r>
    <x v="2"/>
    <x v="6"/>
    <n v="4032.320068359375"/>
    <n v="784.239990234375"/>
    <n v="666.1099853515625"/>
    <n v="5482.6700439453125"/>
  </r>
  <r>
    <x v="1"/>
    <x v="8"/>
    <n v="2188.159912109375"/>
    <n v="4087.39990234375"/>
    <n v="4632.06005859375"/>
    <n v="10907.619873046875"/>
  </r>
  <r>
    <x v="1"/>
    <x v="3"/>
    <n v="1822.9100341796875"/>
    <n v="2842.760009765625"/>
    <n v="3824.669921875"/>
    <n v="8490.3399658203125"/>
  </r>
  <r>
    <x v="1"/>
    <x v="1"/>
    <n v="4594.27978515625"/>
    <n v="431.67001342773438"/>
    <n v="3036.389892578125"/>
    <n v="8062.3396911621094"/>
  </r>
  <r>
    <x v="3"/>
    <x v="0"/>
    <n v="1248.050048828125"/>
    <n v="4475.169921875"/>
    <n v="4828.91015625"/>
    <n v="10552.130126953125"/>
  </r>
  <r>
    <x v="3"/>
    <x v="9"/>
    <n v="3209.2099609375"/>
    <n v="5107.52978515625"/>
    <n v="571.92999267578125"/>
    <n v="8888.6697387695313"/>
  </r>
  <r>
    <x v="0"/>
    <x v="10"/>
    <n v="4926.490234375"/>
    <n v="2551.800048828125"/>
    <n v="3888.2099609375"/>
    <n v="11366.500244140625"/>
  </r>
  <r>
    <x v="2"/>
    <x v="1"/>
    <n v="934.1300048828125"/>
    <n v="856.71002197265625"/>
    <n v="4677.52978515625"/>
    <n v="6468.3698120117188"/>
  </r>
  <r>
    <x v="1"/>
    <x v="3"/>
    <n v="3220.199951171875"/>
    <n v="4775.77001953125"/>
    <n v="1525.989990234375"/>
    <n v="9521.9599609375"/>
  </r>
  <r>
    <x v="0"/>
    <x v="11"/>
    <n v="4379.0400390625"/>
    <n v="2107.050048828125"/>
    <n v="4296.25"/>
    <n v="10782.340087890625"/>
  </r>
  <r>
    <x v="0"/>
    <x v="7"/>
    <n v="4314.9501953125"/>
    <n v="1941.3499755859375"/>
    <n v="4304.77978515625"/>
    <n v="10561.07995605468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n v="852.77001953125"/>
    <n v="927.1500244140625"/>
    <n v="2174.64990234375"/>
    <n v="3954.5699462890625"/>
  </r>
  <r>
    <x v="1"/>
    <x v="1"/>
    <n v="2039.5999755859375"/>
    <n v="1450.81005859375"/>
    <n v="538.66998291015625"/>
    <n v="4029.0800170898438"/>
  </r>
  <r>
    <x v="2"/>
    <x v="2"/>
    <n v="2101.419921875"/>
    <n v="4750.18017578125"/>
    <n v="3623.64990234375"/>
    <n v="10475.25"/>
  </r>
  <r>
    <x v="1"/>
    <x v="0"/>
    <n v="301.26998901367188"/>
    <n v="531.15997314453125"/>
    <n v="4826.5498046875"/>
    <n v="5658.9797668457031"/>
  </r>
  <r>
    <x v="3"/>
    <x v="3"/>
    <n v="1235.1400146484375"/>
    <n v="3692.3798828125"/>
    <n v="3391.8798828125"/>
    <n v="8319.3997802734375"/>
  </r>
  <r>
    <x v="1"/>
    <x v="4"/>
    <n v="1126.3499755859375"/>
    <n v="4738.669921875"/>
    <n v="280.79000854492188"/>
    <n v="6145.8099060058594"/>
  </r>
  <r>
    <x v="3"/>
    <x v="0"/>
    <n v="3501.47998046875"/>
    <n v="3612.719970703125"/>
    <n v="4097.7900390625"/>
    <n v="11211.989990234375"/>
  </r>
  <r>
    <x v="2"/>
    <x v="0"/>
    <n v="2996.4599609375"/>
    <n v="4448.759765625"/>
    <n v="3314.219970703125"/>
    <n v="10759.439697265625"/>
  </r>
  <r>
    <x v="3"/>
    <x v="2"/>
    <n v="5089.43994140625"/>
    <n v="1608.239990234375"/>
    <n v="2458.02001953125"/>
    <n v="9155.699951171875"/>
  </r>
  <r>
    <x v="1"/>
    <x v="5"/>
    <n v="929.21002197265625"/>
    <n v="3241.47998046875"/>
    <n v="2288.239990234375"/>
    <n v="6458.9299926757813"/>
  </r>
  <r>
    <x v="1"/>
    <x v="6"/>
    <n v="3014.739990234375"/>
    <n v="3858.340087890625"/>
    <n v="3254.72998046875"/>
    <n v="10127.81005859375"/>
  </r>
  <r>
    <x v="2"/>
    <x v="5"/>
    <n v="1861.4100341796875"/>
    <n v="4251.6201171875"/>
    <n v="962.52001953125"/>
    <n v="7075.5501708984375"/>
  </r>
  <r>
    <x v="2"/>
    <x v="7"/>
    <n v="4477.740234375"/>
    <n v="5051.009765625"/>
    <n v="3556.72998046875"/>
    <n v="13085.47998046875"/>
  </r>
  <r>
    <x v="2"/>
    <x v="8"/>
    <n v="3177"/>
    <n v="2085.260009765625"/>
    <n v="245.42999267578125"/>
    <n v="5507.6900024414063"/>
  </r>
  <r>
    <x v="2"/>
    <x v="4"/>
    <n v="2100.239990234375"/>
    <n v="5172.39990234375"/>
    <n v="4850.8798828125"/>
    <n v="12123.519775390625"/>
  </r>
  <r>
    <x v="3"/>
    <x v="6"/>
    <n v="2660.580078125"/>
    <n v="458.85000610351563"/>
    <n v="2776.6298828125"/>
    <n v="5896.0599670410156"/>
  </r>
  <r>
    <x v="2"/>
    <x v="4"/>
    <n v="2697.469970703125"/>
    <n v="690.90997314453125"/>
    <n v="1989.8199462890625"/>
    <n v="5378.1998901367188"/>
  </r>
  <r>
    <x v="2"/>
    <x v="9"/>
    <n v="4408.1201171875"/>
    <n v="1967.3399658203125"/>
    <n v="1122.8599853515625"/>
    <n v="7498.320068359375"/>
  </r>
  <r>
    <x v="0"/>
    <x v="5"/>
    <n v="3491.43994140625"/>
    <n v="3417.02001953125"/>
    <n v="4112.3798828125"/>
    <n v="11020.8398437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n v="4902.580078125"/>
    <n v="3222.300048828125"/>
    <n v="3205.43994140625"/>
    <n v="11330.320068359375"/>
  </r>
  <r>
    <x v="1"/>
    <x v="1"/>
    <n v="491.239990234375"/>
    <n v="2312.929931640625"/>
    <n v="551.17999267578125"/>
    <n v="3355.3499145507813"/>
  </r>
  <r>
    <x v="0"/>
    <x v="2"/>
    <n v="3754.64990234375"/>
    <n v="299.510009765625"/>
    <n v="1698.56005859375"/>
    <n v="5752.719970703125"/>
  </r>
  <r>
    <x v="2"/>
    <x v="2"/>
    <n v="2223.919921875"/>
    <n v="2318.159912109375"/>
    <n v="3050.739990234375"/>
    <n v="7592.81982421875"/>
  </r>
  <r>
    <x v="0"/>
    <x v="3"/>
    <n v="1280.449951171875"/>
    <n v="3958.06005859375"/>
    <n v="2640.010009765625"/>
    <n v="7878.52001953125"/>
  </r>
  <r>
    <x v="0"/>
    <x v="2"/>
    <n v="268.54000854492188"/>
    <n v="970.530029296875"/>
    <n v="1859.8599853515625"/>
    <n v="3098.9300231933594"/>
  </r>
  <r>
    <x v="0"/>
    <x v="1"/>
    <n v="1119.239990234375"/>
    <n v="3006.75"/>
    <n v="423.75"/>
    <n v="4549.739990234375"/>
  </r>
  <r>
    <x v="0"/>
    <x v="4"/>
    <n v="4542.919921875"/>
    <n v="4961.97998046875"/>
    <n v="2566.7900390625"/>
    <n v="12071.68994140625"/>
  </r>
  <r>
    <x v="2"/>
    <x v="4"/>
    <n v="3598.820068359375"/>
    <n v="251.25"/>
    <n v="265.57998657226563"/>
    <n v="4115.6500549316406"/>
  </r>
  <r>
    <x v="3"/>
    <x v="5"/>
    <n v="4962.7001953125"/>
    <n v="3803.340087890625"/>
    <n v="3865.580078125"/>
    <n v="12631.620361328125"/>
  </r>
  <r>
    <x v="3"/>
    <x v="0"/>
    <n v="3628.580078125"/>
    <n v="1314.9100341796875"/>
    <n v="4240.740234375"/>
    <n v="9184.2303466796875"/>
  </r>
  <r>
    <x v="3"/>
    <x v="6"/>
    <n v="926.27001953125"/>
    <n v="3869.780029296875"/>
    <n v="2919.800048828125"/>
    <n v="7715.85009765625"/>
  </r>
  <r>
    <x v="0"/>
    <x v="2"/>
    <n v="3377.760009765625"/>
    <n v="4104.10986328125"/>
    <n v="387.89999389648438"/>
    <n v="7869.7698669433594"/>
  </r>
  <r>
    <x v="0"/>
    <x v="5"/>
    <n v="3006.639892578125"/>
    <n v="825.09002685546875"/>
    <n v="589.6400146484375"/>
    <n v="4421.3699340820313"/>
  </r>
  <r>
    <x v="2"/>
    <x v="3"/>
    <n v="3645.0400390625"/>
    <n v="2199.3798828125"/>
    <n v="5035.830078125"/>
    <n v="10880.25"/>
  </r>
  <r>
    <x v="1"/>
    <x v="7"/>
    <n v="2631.610107421875"/>
    <n v="3081.179931640625"/>
    <n v="3553.449951171875"/>
    <n v="9266.239990234375"/>
  </r>
  <r>
    <x v="3"/>
    <x v="8"/>
    <n v="4075.840087890625"/>
    <n v="1703.489990234375"/>
    <n v="4758.97021484375"/>
    <n v="10538.30029296875"/>
  </r>
  <r>
    <x v="2"/>
    <x v="1"/>
    <n v="1783.47998046875"/>
    <n v="5198.93017578125"/>
    <n v="1605.1099853515625"/>
    <n v="8587.5201416015625"/>
  </r>
  <r>
    <x v="1"/>
    <x v="5"/>
    <n v="3633.52001953125"/>
    <n v="2327.93994140625"/>
    <n v="618.1500244140625"/>
    <n v="6579.609985351562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n v="2413.10009765625"/>
    <n v="467.35000610351563"/>
    <n v="3390.4599609375"/>
    <n v="6270.9100646972656"/>
  </r>
  <r>
    <x v="0"/>
    <x v="1"/>
    <n v="2462.419921875"/>
    <n v="1932.8499755859375"/>
    <n v="1341.06005859375"/>
    <n v="5736.3299560546875"/>
  </r>
  <r>
    <x v="1"/>
    <x v="2"/>
    <n v="3305.389892578125"/>
    <n v="3269.590087890625"/>
    <n v="4171.3701171875"/>
    <n v="10746.35009765625"/>
  </r>
  <r>
    <x v="1"/>
    <x v="3"/>
    <n v="930.40997314453125"/>
    <n v="3226.280029296875"/>
    <n v="493.6199951171875"/>
    <n v="4650.3099975585938"/>
  </r>
  <r>
    <x v="2"/>
    <x v="3"/>
    <n v="4276.52001953125"/>
    <n v="3515.97998046875"/>
    <n v="4577.81982421875"/>
    <n v="12370.31982421875"/>
  </r>
  <r>
    <x v="2"/>
    <x v="4"/>
    <n v="910.30999755859375"/>
    <n v="3582.570068359375"/>
    <n v="1661.6800537109375"/>
    <n v="6154.5601196289063"/>
  </r>
  <r>
    <x v="2"/>
    <x v="3"/>
    <n v="296.92999267578125"/>
    <n v="4146.7900390625"/>
    <n v="2234.35009765625"/>
    <n v="6678.0701293945313"/>
  </r>
  <r>
    <x v="1"/>
    <x v="2"/>
    <n v="4468.990234375"/>
    <n v="3871.52001953125"/>
    <n v="1024.93994140625"/>
    <n v="9365.4501953125"/>
  </r>
  <r>
    <x v="3"/>
    <x v="5"/>
    <n v="2600.77001953125"/>
    <n v="3373.56005859375"/>
    <n v="1764.1099853515625"/>
    <n v="7738.4400634765625"/>
  </r>
  <r>
    <x v="2"/>
    <x v="6"/>
    <n v="1898.6700439453125"/>
    <n v="3099.2099609375"/>
    <n v="1916.699951171875"/>
    <n v="6914.5799560546875"/>
  </r>
  <r>
    <x v="2"/>
    <x v="7"/>
    <n v="2711.840087890625"/>
    <n v="5101.52001953125"/>
    <n v="1021.760009765625"/>
    <n v="8835.1201171875"/>
  </r>
  <r>
    <x v="1"/>
    <x v="6"/>
    <n v="928.41998291015625"/>
    <n v="3273.72998046875"/>
    <n v="2726.77001953125"/>
    <n v="6928.9199829101563"/>
  </r>
  <r>
    <x v="0"/>
    <x v="8"/>
    <n v="1567.050048828125"/>
    <n v="4058.949951171875"/>
    <n v="3205.260009765625"/>
    <n v="8831.260009765625"/>
  </r>
  <r>
    <x v="1"/>
    <x v="4"/>
    <n v="2205.1201171875"/>
    <n v="462.32000732421875"/>
    <n v="1229.969970703125"/>
    <n v="3897.4100952148438"/>
  </r>
  <r>
    <x v="0"/>
    <x v="9"/>
    <n v="5143.93017578125"/>
    <n v="1414.8599853515625"/>
    <n v="2502.89990234375"/>
    <n v="9061.6900634765625"/>
  </r>
  <r>
    <x v="3"/>
    <x v="4"/>
    <n v="4325.14013671875"/>
    <n v="2196.139892578125"/>
    <n v="4871.89013671875"/>
    <n v="11393.170166015625"/>
  </r>
  <r>
    <x v="1"/>
    <x v="2"/>
    <n v="4248.18017578125"/>
    <n v="2916.199951171875"/>
    <n v="2181.60009765625"/>
    <n v="9345.980224609375"/>
  </r>
  <r>
    <x v="0"/>
    <x v="8"/>
    <n v="2948.14990234375"/>
    <n v="2628.97998046875"/>
    <n v="2792.7099609375"/>
    <n v="8369.83984375"/>
  </r>
  <r>
    <x v="1"/>
    <x v="8"/>
    <n v="2367.68994140625"/>
    <n v="2825.8701171875"/>
    <n v="273.04000854492188"/>
    <n v="5466.60006713867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3814E9-6B20-4D7C-BB22-E95E49379B2E}" name="Pivot_Quarter_2" cacheId="9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24" firstHeaderRow="1" firstDataRow="1" firstDataCol="2"/>
  <pivotFields count="6">
    <pivotField axis="axisRow" compact="0" outline="0" showAll="0">
      <items count="5">
        <item x="2"/>
        <item x="0"/>
        <item x="3"/>
        <item x="1"/>
        <item t="default"/>
      </items>
    </pivotField>
    <pivotField axis="axisRow" compact="0" outline="0" showAll="0">
      <items count="13">
        <item x="3"/>
        <item x="9"/>
        <item x="10"/>
        <item x="1"/>
        <item x="2"/>
        <item x="8"/>
        <item x="7"/>
        <item x="0"/>
        <item x="4"/>
        <item x="6"/>
        <item x="5"/>
        <item x="11"/>
        <item t="default"/>
      </items>
    </pivotField>
    <pivotField compact="0" numFmtId="44" outline="0" showAll="0"/>
    <pivotField compact="0" numFmtId="44" outline="0" showAll="0"/>
    <pivotField compact="0" numFmtId="44" outline="0" showAll="0"/>
    <pivotField dataField="1" compact="0" numFmtId="44" outline="0" showAll="0"/>
  </pivotFields>
  <rowFields count="2">
    <field x="0"/>
    <field x="1"/>
  </rowFields>
  <rowItems count="21">
    <i>
      <x/>
      <x v="3"/>
    </i>
    <i r="1">
      <x v="4"/>
    </i>
    <i r="1">
      <x v="6"/>
    </i>
    <i r="1">
      <x v="8"/>
    </i>
    <i r="1">
      <x v="9"/>
    </i>
    <i t="default">
      <x/>
    </i>
    <i>
      <x v="1"/>
      <x v="2"/>
    </i>
    <i r="1">
      <x v="6"/>
    </i>
    <i r="1">
      <x v="7"/>
    </i>
    <i r="1">
      <x v="11"/>
    </i>
    <i t="default">
      <x v="1"/>
    </i>
    <i>
      <x v="2"/>
      <x/>
    </i>
    <i r="1">
      <x v="1"/>
    </i>
    <i r="1">
      <x v="7"/>
    </i>
    <i t="default">
      <x v="2"/>
    </i>
    <i>
      <x v="3"/>
      <x/>
    </i>
    <i r="1">
      <x v="3"/>
    </i>
    <i r="1">
      <x v="5"/>
    </i>
    <i r="1">
      <x v="10"/>
    </i>
    <i t="default">
      <x v="3"/>
    </i>
    <i t="grand">
      <x/>
    </i>
  </rowItems>
  <colItems count="1">
    <i/>
  </colItems>
  <dataFields count="1">
    <dataField name="Sum of Total" fld="5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76AD3F-2D49-4BA5-B4AE-5A1A950F2DB2}" name="Pivot_Quarter_3" cacheId="10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26" firstHeaderRow="1" firstDataRow="1" firstDataCol="2"/>
  <pivotFields count="6">
    <pivotField axis="axisRow" compact="0" outline="0" showAll="0">
      <items count="5">
        <item x="0"/>
        <item x="2"/>
        <item x="1"/>
        <item x="3"/>
        <item t="default"/>
      </items>
    </pivotField>
    <pivotField axis="axisRow" compact="0" outline="0" showAll="0">
      <items count="11">
        <item x="4"/>
        <item x="2"/>
        <item x="9"/>
        <item x="1"/>
        <item x="8"/>
        <item x="3"/>
        <item x="7"/>
        <item x="0"/>
        <item x="6"/>
        <item x="5"/>
        <item t="default"/>
      </items>
    </pivotField>
    <pivotField compact="0" numFmtId="44" outline="0" showAll="0"/>
    <pivotField compact="0" numFmtId="44" outline="0" showAll="0"/>
    <pivotField compact="0" numFmtId="44" outline="0" showAll="0"/>
    <pivotField dataField="1" compact="0" numFmtId="44" outline="0" showAll="0"/>
  </pivotFields>
  <rowFields count="2">
    <field x="0"/>
    <field x="1"/>
  </rowFields>
  <rowItems count="23">
    <i>
      <x/>
      <x v="7"/>
    </i>
    <i r="1">
      <x v="9"/>
    </i>
    <i t="default">
      <x/>
    </i>
    <i>
      <x v="1"/>
      <x/>
    </i>
    <i r="1">
      <x v="1"/>
    </i>
    <i r="1">
      <x v="2"/>
    </i>
    <i r="1">
      <x v="4"/>
    </i>
    <i r="1">
      <x v="6"/>
    </i>
    <i r="1">
      <x v="7"/>
    </i>
    <i r="1">
      <x v="9"/>
    </i>
    <i t="default">
      <x v="1"/>
    </i>
    <i>
      <x v="2"/>
      <x/>
    </i>
    <i r="1">
      <x v="3"/>
    </i>
    <i r="1">
      <x v="7"/>
    </i>
    <i r="1">
      <x v="8"/>
    </i>
    <i r="1">
      <x v="9"/>
    </i>
    <i t="default">
      <x v="2"/>
    </i>
    <i>
      <x v="3"/>
      <x v="1"/>
    </i>
    <i r="1">
      <x v="5"/>
    </i>
    <i r="1">
      <x v="7"/>
    </i>
    <i r="1">
      <x v="8"/>
    </i>
    <i t="default">
      <x v="3"/>
    </i>
    <i t="grand">
      <x/>
    </i>
  </rowItems>
  <colItems count="1">
    <i/>
  </colItems>
  <dataFields count="1">
    <dataField name="Sum of Total" fld="5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B534DA-9D71-46DB-9A97-46DB4BCA3CE1}" name="Pivot_Quarter_1" cacheId="10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25" firstHeaderRow="1" firstDataRow="1" firstDataCol="2"/>
  <pivotFields count="6">
    <pivotField axis="axisRow" compact="0" outline="0" showAll="0">
      <items count="5">
        <item x="3"/>
        <item x="2"/>
        <item x="1"/>
        <item x="0"/>
        <item t="default"/>
      </items>
    </pivotField>
    <pivotField axis="axisRow" compact="0" outline="0" showAll="0">
      <items count="10">
        <item x="6"/>
        <item x="3"/>
        <item x="5"/>
        <item x="8"/>
        <item x="0"/>
        <item x="2"/>
        <item x="1"/>
        <item x="7"/>
        <item x="4"/>
        <item t="default"/>
      </items>
    </pivotField>
    <pivotField compact="0" numFmtId="44" outline="0" showAll="0"/>
    <pivotField compact="0" numFmtId="44" outline="0" showAll="0"/>
    <pivotField compact="0" numFmtId="44" outline="0" showAll="0"/>
    <pivotField dataField="1" compact="0" numFmtId="44" outline="0" showAll="0"/>
  </pivotFields>
  <rowFields count="2">
    <field x="0"/>
    <field x="1"/>
  </rowFields>
  <rowItems count="22">
    <i>
      <x/>
      <x/>
    </i>
    <i r="1">
      <x v="2"/>
    </i>
    <i r="1">
      <x v="3"/>
    </i>
    <i r="1">
      <x v="4"/>
    </i>
    <i t="default">
      <x/>
    </i>
    <i>
      <x v="1"/>
      <x v="1"/>
    </i>
    <i r="1">
      <x v="5"/>
    </i>
    <i r="1">
      <x v="6"/>
    </i>
    <i r="1">
      <x v="8"/>
    </i>
    <i t="default">
      <x v="1"/>
    </i>
    <i>
      <x v="2"/>
      <x v="2"/>
    </i>
    <i r="1">
      <x v="6"/>
    </i>
    <i r="1">
      <x v="7"/>
    </i>
    <i t="default">
      <x v="2"/>
    </i>
    <i>
      <x v="3"/>
      <x v="1"/>
    </i>
    <i r="1">
      <x v="2"/>
    </i>
    <i r="1">
      <x v="4"/>
    </i>
    <i r="1">
      <x v="5"/>
    </i>
    <i r="1">
      <x v="6"/>
    </i>
    <i r="1">
      <x v="8"/>
    </i>
    <i t="default">
      <x v="3"/>
    </i>
    <i t="grand">
      <x/>
    </i>
  </rowItems>
  <colItems count="1">
    <i/>
  </colItems>
  <dataFields count="1">
    <dataField name="Sum of Total" fld="5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7C838C-AA01-4D1F-AB60-7098776EE85B}" name="Pivot_Quarter_4" cacheId="1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23" firstHeaderRow="1" firstDataRow="1" firstDataCol="2"/>
  <pivotFields count="6">
    <pivotField axis="axisRow" compact="0" outline="0" showAll="0">
      <items count="5">
        <item x="2"/>
        <item x="3"/>
        <item x="0"/>
        <item x="1"/>
        <item t="default"/>
      </items>
    </pivotField>
    <pivotField axis="axisRow" compact="0" outline="0" showAll="0">
      <items count="11">
        <item x="3"/>
        <item x="4"/>
        <item x="2"/>
        <item x="9"/>
        <item x="8"/>
        <item x="6"/>
        <item x="1"/>
        <item x="5"/>
        <item x="7"/>
        <item x="0"/>
        <item t="default"/>
      </items>
    </pivotField>
    <pivotField compact="0" numFmtId="44" outline="0" showAll="0"/>
    <pivotField compact="0" numFmtId="44" outline="0" showAll="0"/>
    <pivotField compact="0" numFmtId="44" outline="0" showAll="0"/>
    <pivotField dataField="1" compact="0" numFmtId="44" outline="0" showAll="0"/>
  </pivotFields>
  <rowFields count="2">
    <field x="0"/>
    <field x="1"/>
  </rowFields>
  <rowItems count="20">
    <i>
      <x/>
      <x/>
    </i>
    <i r="1">
      <x v="1"/>
    </i>
    <i r="1">
      <x v="5"/>
    </i>
    <i r="1">
      <x v="8"/>
    </i>
    <i t="default">
      <x/>
    </i>
    <i>
      <x v="1"/>
      <x v="1"/>
    </i>
    <i r="1">
      <x v="7"/>
    </i>
    <i t="default">
      <x v="1"/>
    </i>
    <i>
      <x v="2"/>
      <x v="3"/>
    </i>
    <i r="1">
      <x v="4"/>
    </i>
    <i r="1">
      <x v="6"/>
    </i>
    <i r="1">
      <x v="9"/>
    </i>
    <i t="default">
      <x v="2"/>
    </i>
    <i>
      <x v="3"/>
      <x/>
    </i>
    <i r="1">
      <x v="1"/>
    </i>
    <i r="1">
      <x v="2"/>
    </i>
    <i r="1">
      <x v="4"/>
    </i>
    <i r="1">
      <x v="5"/>
    </i>
    <i t="default">
      <x v="3"/>
    </i>
    <i t="grand">
      <x/>
    </i>
  </rowItems>
  <colItems count="1">
    <i/>
  </colItems>
  <dataFields count="1">
    <dataField name="Sum of Total" fld="5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4CAF0-37B4-4B2C-8C5D-16D7BC4185AD}">
  <sheetPr codeName="Sheet153"/>
  <dimension ref="A1:F21"/>
  <sheetViews>
    <sheetView workbookViewId="0">
      <selection activeCell="A2" sqref="A2:F21"/>
    </sheetView>
  </sheetViews>
  <sheetFormatPr defaultRowHeight="14.4" x14ac:dyDescent="0.55000000000000004"/>
  <cols>
    <col min="3" max="5" width="9.7890625" bestFit="1" customWidth="1"/>
    <col min="6" max="6" width="10.7890625" bestFit="1" customWidth="1"/>
  </cols>
  <sheetData>
    <row r="1" spans="1:6" ht="20.399999999999999" x14ac:dyDescent="0.75">
      <c r="A1" s="1" t="s">
        <v>0</v>
      </c>
      <c r="B1" s="1" t="s">
        <v>1</v>
      </c>
      <c r="C1" s="1" t="s">
        <v>22</v>
      </c>
      <c r="D1" s="1" t="s">
        <v>23</v>
      </c>
      <c r="E1" s="1" t="s">
        <v>24</v>
      </c>
      <c r="F1" s="1" t="s">
        <v>2</v>
      </c>
    </row>
    <row r="2" spans="1:6" x14ac:dyDescent="0.55000000000000004">
      <c r="A2" t="s">
        <v>5</v>
      </c>
      <c r="B2" t="s">
        <v>14</v>
      </c>
      <c r="C2" s="2">
        <v>2560.330078125</v>
      </c>
      <c r="D2" s="2">
        <v>816.969970703125</v>
      </c>
      <c r="E2" s="2">
        <v>280.1300048828125</v>
      </c>
      <c r="F2" s="2">
        <f>SUM(C2:E2)</f>
        <v>3657.4300537109375</v>
      </c>
    </row>
    <row r="3" spans="1:6" x14ac:dyDescent="0.55000000000000004">
      <c r="A3" t="s">
        <v>8</v>
      </c>
      <c r="B3" t="s">
        <v>6</v>
      </c>
      <c r="C3" s="2">
        <v>2794.64990234375</v>
      </c>
      <c r="D3" s="2">
        <v>207.71000671386719</v>
      </c>
      <c r="E3" s="2">
        <v>2764.3701171875</v>
      </c>
      <c r="F3" s="2">
        <f>SUM(C3:E3)</f>
        <v>5766.7300262451172</v>
      </c>
    </row>
    <row r="4" spans="1:6" x14ac:dyDescent="0.55000000000000004">
      <c r="A4" t="s">
        <v>5</v>
      </c>
      <c r="B4" t="s">
        <v>12</v>
      </c>
      <c r="C4" s="2">
        <v>674.239990234375</v>
      </c>
      <c r="D4" s="2">
        <v>3490.010009765625</v>
      </c>
      <c r="E4" s="2">
        <v>4341.72021484375</v>
      </c>
      <c r="F4" s="2">
        <f>SUM(C4:E4)</f>
        <v>8505.97021484375</v>
      </c>
    </row>
    <row r="5" spans="1:6" x14ac:dyDescent="0.55000000000000004">
      <c r="A5" t="s">
        <v>7</v>
      </c>
      <c r="B5" t="s">
        <v>9</v>
      </c>
      <c r="C5" s="2">
        <v>3346.14990234375</v>
      </c>
      <c r="D5" s="2">
        <v>4588.97021484375</v>
      </c>
      <c r="E5" s="2">
        <v>2138.280029296875</v>
      </c>
      <c r="F5" s="2">
        <f>SUM(C5:E5)</f>
        <v>10073.400146484375</v>
      </c>
    </row>
    <row r="6" spans="1:6" x14ac:dyDescent="0.55000000000000004">
      <c r="A6" t="s">
        <v>3</v>
      </c>
      <c r="B6" t="s">
        <v>20</v>
      </c>
      <c r="C6" s="2">
        <v>2394.989990234375</v>
      </c>
      <c r="D6" s="2">
        <v>4761.47021484375</v>
      </c>
      <c r="E6" s="2">
        <v>4351.18017578125</v>
      </c>
      <c r="F6" s="2">
        <f>SUM(C6:E6)</f>
        <v>11507.640380859375</v>
      </c>
    </row>
    <row r="7" spans="1:6" x14ac:dyDescent="0.55000000000000004">
      <c r="A7" t="s">
        <v>7</v>
      </c>
      <c r="B7" t="s">
        <v>15</v>
      </c>
      <c r="C7" s="2">
        <v>2108.580078125</v>
      </c>
      <c r="D7" s="2">
        <v>533.72998046875</v>
      </c>
      <c r="E7" s="2">
        <v>3232.830078125</v>
      </c>
      <c r="F7" s="2">
        <f>SUM(C7:E7)</f>
        <v>5875.14013671875</v>
      </c>
    </row>
    <row r="8" spans="1:6" x14ac:dyDescent="0.55000000000000004">
      <c r="A8" t="s">
        <v>5</v>
      </c>
      <c r="B8" t="s">
        <v>18</v>
      </c>
      <c r="C8" s="2">
        <v>3356.6201171875</v>
      </c>
      <c r="D8" s="2">
        <v>2612.050048828125</v>
      </c>
      <c r="E8" s="2">
        <v>1718.02001953125</v>
      </c>
      <c r="F8" s="2">
        <f>SUM(C8:E8)</f>
        <v>7686.690185546875</v>
      </c>
    </row>
    <row r="9" spans="1:6" x14ac:dyDescent="0.55000000000000004">
      <c r="A9" t="s">
        <v>7</v>
      </c>
      <c r="B9" t="s">
        <v>14</v>
      </c>
      <c r="C9" s="2">
        <v>2549.080078125</v>
      </c>
      <c r="D9" s="2">
        <v>1117.1300048828125</v>
      </c>
      <c r="E9" s="2">
        <v>1392.9100341796875</v>
      </c>
      <c r="F9" s="2">
        <f>SUM(C9:E9)</f>
        <v>5059.1201171875</v>
      </c>
    </row>
    <row r="10" spans="1:6" x14ac:dyDescent="0.55000000000000004">
      <c r="A10" t="s">
        <v>7</v>
      </c>
      <c r="B10" t="s">
        <v>19</v>
      </c>
      <c r="C10" s="2">
        <v>4051.8798828125</v>
      </c>
      <c r="D10" s="2">
        <v>758.83001708984375</v>
      </c>
      <c r="E10" s="2">
        <v>4705.0498046875</v>
      </c>
      <c r="F10" s="2">
        <f>SUM(C10:E10)</f>
        <v>9515.7597045898438</v>
      </c>
    </row>
    <row r="11" spans="1:6" x14ac:dyDescent="0.55000000000000004">
      <c r="A11" t="s">
        <v>7</v>
      </c>
      <c r="B11" t="s">
        <v>14</v>
      </c>
      <c r="C11" s="2">
        <v>4032.320068359375</v>
      </c>
      <c r="D11" s="2">
        <v>784.239990234375</v>
      </c>
      <c r="E11" s="2">
        <v>666.1099853515625</v>
      </c>
      <c r="F11" s="2">
        <f>SUM(C11:E11)</f>
        <v>5482.6700439453125</v>
      </c>
    </row>
    <row r="12" spans="1:6" x14ac:dyDescent="0.55000000000000004">
      <c r="A12" t="s">
        <v>5</v>
      </c>
      <c r="B12" t="s">
        <v>16</v>
      </c>
      <c r="C12" s="2">
        <v>2188.159912109375</v>
      </c>
      <c r="D12" s="2">
        <v>4087.39990234375</v>
      </c>
      <c r="E12" s="2">
        <v>4632.06005859375</v>
      </c>
      <c r="F12" s="2">
        <f>SUM(C12:E12)</f>
        <v>10907.619873046875</v>
      </c>
    </row>
    <row r="13" spans="1:6" x14ac:dyDescent="0.55000000000000004">
      <c r="A13" t="s">
        <v>5</v>
      </c>
      <c r="B13" t="s">
        <v>20</v>
      </c>
      <c r="C13" s="2">
        <v>1822.9100341796875</v>
      </c>
      <c r="D13" s="2">
        <v>2842.760009765625</v>
      </c>
      <c r="E13" s="2">
        <v>3824.669921875</v>
      </c>
      <c r="F13" s="2">
        <f>SUM(C13:E13)</f>
        <v>8490.3399658203125</v>
      </c>
    </row>
    <row r="14" spans="1:6" x14ac:dyDescent="0.55000000000000004">
      <c r="A14" t="s">
        <v>5</v>
      </c>
      <c r="B14" t="s">
        <v>12</v>
      </c>
      <c r="C14" s="2">
        <v>4594.27978515625</v>
      </c>
      <c r="D14" s="2">
        <v>431.67001342773438</v>
      </c>
      <c r="E14" s="2">
        <v>3036.389892578125</v>
      </c>
      <c r="F14" s="2">
        <f>SUM(C14:E14)</f>
        <v>8062.3396911621094</v>
      </c>
    </row>
    <row r="15" spans="1:6" x14ac:dyDescent="0.55000000000000004">
      <c r="A15" t="s">
        <v>3</v>
      </c>
      <c r="B15" t="s">
        <v>6</v>
      </c>
      <c r="C15" s="2">
        <v>1248.050048828125</v>
      </c>
      <c r="D15" s="2">
        <v>4475.169921875</v>
      </c>
      <c r="E15" s="2">
        <v>4828.91015625</v>
      </c>
      <c r="F15" s="2">
        <f>SUM(C15:E15)</f>
        <v>10552.130126953125</v>
      </c>
    </row>
    <row r="16" spans="1:6" x14ac:dyDescent="0.55000000000000004">
      <c r="A16" t="s">
        <v>3</v>
      </c>
      <c r="B16" t="s">
        <v>10</v>
      </c>
      <c r="C16" s="2">
        <v>3209.2099609375</v>
      </c>
      <c r="D16" s="2">
        <v>5107.52978515625</v>
      </c>
      <c r="E16" s="2">
        <v>571.92999267578125</v>
      </c>
      <c r="F16" s="2">
        <f>SUM(C16:E16)</f>
        <v>8888.6697387695313</v>
      </c>
    </row>
    <row r="17" spans="1:6" x14ac:dyDescent="0.55000000000000004">
      <c r="A17" t="s">
        <v>8</v>
      </c>
      <c r="B17" t="s">
        <v>21</v>
      </c>
      <c r="C17" s="2">
        <v>4926.490234375</v>
      </c>
      <c r="D17" s="2">
        <v>2551.800048828125</v>
      </c>
      <c r="E17" s="2">
        <v>3888.2099609375</v>
      </c>
      <c r="F17" s="2">
        <f>SUM(C17:E17)</f>
        <v>11366.500244140625</v>
      </c>
    </row>
    <row r="18" spans="1:6" x14ac:dyDescent="0.55000000000000004">
      <c r="A18" t="s">
        <v>7</v>
      </c>
      <c r="B18" t="s">
        <v>12</v>
      </c>
      <c r="C18" s="2">
        <v>934.1300048828125</v>
      </c>
      <c r="D18" s="2">
        <v>856.71002197265625</v>
      </c>
      <c r="E18" s="2">
        <v>4677.52978515625</v>
      </c>
      <c r="F18" s="2">
        <f>SUM(C18:E18)</f>
        <v>6468.3698120117188</v>
      </c>
    </row>
    <row r="19" spans="1:6" x14ac:dyDescent="0.55000000000000004">
      <c r="A19" t="s">
        <v>5</v>
      </c>
      <c r="B19" t="s">
        <v>20</v>
      </c>
      <c r="C19" s="2">
        <v>3220.199951171875</v>
      </c>
      <c r="D19" s="2">
        <v>4775.77001953125</v>
      </c>
      <c r="E19" s="2">
        <v>1525.989990234375</v>
      </c>
      <c r="F19" s="2">
        <f>SUM(C19:E19)</f>
        <v>9521.9599609375</v>
      </c>
    </row>
    <row r="20" spans="1:6" x14ac:dyDescent="0.55000000000000004">
      <c r="A20" t="s">
        <v>8</v>
      </c>
      <c r="B20" t="s">
        <v>4</v>
      </c>
      <c r="C20" s="2">
        <v>4379.0400390625</v>
      </c>
      <c r="D20" s="2">
        <v>2107.050048828125</v>
      </c>
      <c r="E20" s="2">
        <v>4296.25</v>
      </c>
      <c r="F20" s="2">
        <f>SUM(C20:E20)</f>
        <v>10782.340087890625</v>
      </c>
    </row>
    <row r="21" spans="1:6" x14ac:dyDescent="0.55000000000000004">
      <c r="A21" t="s">
        <v>8</v>
      </c>
      <c r="B21" t="s">
        <v>19</v>
      </c>
      <c r="C21" s="2">
        <v>4314.9501953125</v>
      </c>
      <c r="D21" s="2">
        <v>1941.3499755859375</v>
      </c>
      <c r="E21" s="2">
        <v>4304.77978515625</v>
      </c>
      <c r="F21" s="2">
        <f>SUM(C21:E21)</f>
        <v>10561.079956054688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FDCA9-D9EF-47F0-9DBA-9C8C7B04A1AB}">
  <sheetPr codeName="Sheet154"/>
  <dimension ref="A1:G20"/>
  <sheetViews>
    <sheetView workbookViewId="0">
      <selection activeCell="F20" sqref="F20"/>
    </sheetView>
  </sheetViews>
  <sheetFormatPr defaultRowHeight="14.4" x14ac:dyDescent="0.55000000000000004"/>
  <cols>
    <col min="3" max="5" width="9.7890625" bestFit="1" customWidth="1"/>
    <col min="6" max="6" width="10.7890625" bestFit="1" customWidth="1"/>
    <col min="7" max="7" width="0" hidden="1" customWidth="1"/>
  </cols>
  <sheetData>
    <row r="1" spans="1:7" ht="20.399999999999999" x14ac:dyDescent="0.75">
      <c r="A1" s="1" t="s">
        <v>0</v>
      </c>
      <c r="B1" s="1" t="s">
        <v>1</v>
      </c>
      <c r="C1" s="3" t="s">
        <v>22</v>
      </c>
      <c r="D1" s="3" t="s">
        <v>23</v>
      </c>
      <c r="E1" s="3" t="s">
        <v>24</v>
      </c>
      <c r="F1" s="3" t="s">
        <v>2</v>
      </c>
      <c r="G1" t="s">
        <v>28</v>
      </c>
    </row>
    <row r="2" spans="1:7" x14ac:dyDescent="0.55000000000000004">
      <c r="A2" t="s">
        <v>8</v>
      </c>
      <c r="B2" t="s">
        <v>6</v>
      </c>
      <c r="C2" s="2">
        <v>2794.64990234375</v>
      </c>
      <c r="D2" s="2">
        <v>207.71000671386719</v>
      </c>
      <c r="E2" s="2">
        <v>2764.3701171875</v>
      </c>
      <c r="F2" s="2">
        <f>SUM(C2:E2)</f>
        <v>5766.7300262451172</v>
      </c>
      <c r="G2" t="s">
        <v>66</v>
      </c>
    </row>
    <row r="3" spans="1:7" x14ac:dyDescent="0.55000000000000004">
      <c r="A3" t="s">
        <v>5</v>
      </c>
      <c r="B3" t="s">
        <v>12</v>
      </c>
      <c r="C3" s="2">
        <v>674.239990234375</v>
      </c>
      <c r="D3" s="2">
        <v>3490.010009765625</v>
      </c>
      <c r="E3" s="2">
        <v>4341.72021484375</v>
      </c>
      <c r="F3" s="2">
        <f>SUM(C3:E3)</f>
        <v>8505.97021484375</v>
      </c>
      <c r="G3" t="s">
        <v>62</v>
      </c>
    </row>
    <row r="4" spans="1:7" x14ac:dyDescent="0.55000000000000004">
      <c r="A4" t="s">
        <v>7</v>
      </c>
      <c r="B4" t="s">
        <v>9</v>
      </c>
      <c r="C4" s="2">
        <v>3346.14990234375</v>
      </c>
      <c r="D4" s="2">
        <v>4588.97021484375</v>
      </c>
      <c r="E4" s="2">
        <v>2138.280029296875</v>
      </c>
      <c r="F4" s="2">
        <f>SUM(C4:E4)</f>
        <v>10073.400146484375</v>
      </c>
      <c r="G4" t="s">
        <v>32</v>
      </c>
    </row>
    <row r="5" spans="1:7" x14ac:dyDescent="0.55000000000000004">
      <c r="A5" t="s">
        <v>3</v>
      </c>
      <c r="B5" t="s">
        <v>20</v>
      </c>
      <c r="C5" s="2">
        <v>2394.989990234375</v>
      </c>
      <c r="D5" s="2">
        <v>4761.47021484375</v>
      </c>
      <c r="E5" s="2">
        <v>4351.18017578125</v>
      </c>
      <c r="F5" s="2">
        <f>SUM(C5:E5)</f>
        <v>11507.640380859375</v>
      </c>
      <c r="G5" t="s">
        <v>31</v>
      </c>
    </row>
    <row r="6" spans="1:7" x14ac:dyDescent="0.55000000000000004">
      <c r="A6" t="s">
        <v>7</v>
      </c>
      <c r="B6" t="s">
        <v>15</v>
      </c>
      <c r="C6" s="2">
        <v>2108.580078125</v>
      </c>
      <c r="D6" s="2">
        <v>533.72998046875</v>
      </c>
      <c r="E6" s="2">
        <v>3232.830078125</v>
      </c>
      <c r="F6" s="2">
        <f>SUM(C6:E6)</f>
        <v>5875.14013671875</v>
      </c>
      <c r="G6" t="s">
        <v>50</v>
      </c>
    </row>
    <row r="7" spans="1:7" x14ac:dyDescent="0.55000000000000004">
      <c r="A7" t="s">
        <v>5</v>
      </c>
      <c r="B7" t="s">
        <v>18</v>
      </c>
      <c r="C7" s="2">
        <v>3356.6201171875</v>
      </c>
      <c r="D7" s="2">
        <v>2612.050048828125</v>
      </c>
      <c r="E7" s="2">
        <v>1718.02001953125</v>
      </c>
      <c r="F7" s="2">
        <f>SUM(C7:E7)</f>
        <v>7686.690185546875</v>
      </c>
      <c r="G7" t="s">
        <v>78</v>
      </c>
    </row>
    <row r="8" spans="1:7" x14ac:dyDescent="0.55000000000000004">
      <c r="A8" t="s">
        <v>7</v>
      </c>
      <c r="B8" t="s">
        <v>14</v>
      </c>
      <c r="C8" s="2">
        <v>2549.080078125</v>
      </c>
      <c r="D8" s="2">
        <v>1117.1300048828125</v>
      </c>
      <c r="E8" s="2">
        <v>1392.9100341796875</v>
      </c>
      <c r="F8" s="2">
        <f>SUM(C8:E8)</f>
        <v>5059.1201171875</v>
      </c>
      <c r="G8" t="s">
        <v>47</v>
      </c>
    </row>
    <row r="9" spans="1:7" x14ac:dyDescent="0.55000000000000004">
      <c r="A9" t="s">
        <v>7</v>
      </c>
      <c r="B9" t="s">
        <v>19</v>
      </c>
      <c r="C9" s="2">
        <v>4051.8798828125</v>
      </c>
      <c r="D9" s="2">
        <v>758.83001708984375</v>
      </c>
      <c r="E9" s="2">
        <v>4705.0498046875</v>
      </c>
      <c r="F9" s="2">
        <f>SUM(C9:E9)</f>
        <v>9515.7597045898438</v>
      </c>
      <c r="G9" t="s">
        <v>76</v>
      </c>
    </row>
    <row r="10" spans="1:7" x14ac:dyDescent="0.55000000000000004">
      <c r="A10" t="s">
        <v>7</v>
      </c>
      <c r="B10" t="s">
        <v>14</v>
      </c>
      <c r="C10" s="2">
        <v>4032.320068359375</v>
      </c>
      <c r="D10" s="2">
        <v>784.239990234375</v>
      </c>
      <c r="E10" s="2">
        <v>666.1099853515625</v>
      </c>
      <c r="F10" s="2">
        <f>SUM(C10:E10)</f>
        <v>5482.6700439453125</v>
      </c>
      <c r="G10" t="s">
        <v>47</v>
      </c>
    </row>
    <row r="11" spans="1:7" x14ac:dyDescent="0.55000000000000004">
      <c r="A11" t="s">
        <v>5</v>
      </c>
      <c r="B11" t="s">
        <v>16</v>
      </c>
      <c r="C11" s="2">
        <v>2188.159912109375</v>
      </c>
      <c r="D11" s="2">
        <v>4087.39990234375</v>
      </c>
      <c r="E11" s="2">
        <v>4632.06005859375</v>
      </c>
      <c r="F11" s="2">
        <f>SUM(C11:E11)</f>
        <v>10907.619873046875</v>
      </c>
      <c r="G11" t="s">
        <v>36</v>
      </c>
    </row>
    <row r="12" spans="1:7" x14ac:dyDescent="0.55000000000000004">
      <c r="A12" t="s">
        <v>5</v>
      </c>
      <c r="B12" t="s">
        <v>20</v>
      </c>
      <c r="C12" s="2">
        <v>1822.9100341796875</v>
      </c>
      <c r="D12" s="2">
        <v>2842.760009765625</v>
      </c>
      <c r="E12" s="2">
        <v>3824.669921875</v>
      </c>
      <c r="F12" s="2">
        <f>SUM(C12:E12)</f>
        <v>8490.3399658203125</v>
      </c>
      <c r="G12" t="s">
        <v>34</v>
      </c>
    </row>
    <row r="13" spans="1:7" x14ac:dyDescent="0.55000000000000004">
      <c r="A13" t="s">
        <v>5</v>
      </c>
      <c r="B13" t="s">
        <v>12</v>
      </c>
      <c r="C13" s="2">
        <v>4594.27978515625</v>
      </c>
      <c r="D13" s="2">
        <v>431.67001342773438</v>
      </c>
      <c r="E13" s="2">
        <v>3036.389892578125</v>
      </c>
      <c r="F13" s="2">
        <f>SUM(C13:E13)</f>
        <v>8062.3396911621094</v>
      </c>
      <c r="G13" t="s">
        <v>62</v>
      </c>
    </row>
    <row r="14" spans="1:7" x14ac:dyDescent="0.55000000000000004">
      <c r="A14" t="s">
        <v>3</v>
      </c>
      <c r="B14" t="s">
        <v>6</v>
      </c>
      <c r="C14" s="2">
        <v>1248.050048828125</v>
      </c>
      <c r="D14" s="2">
        <v>4475.169921875</v>
      </c>
      <c r="E14" s="2">
        <v>4828.91015625</v>
      </c>
      <c r="F14" s="2">
        <f>SUM(C14:E14)</f>
        <v>10552.130126953125</v>
      </c>
      <c r="G14" t="s">
        <v>49</v>
      </c>
    </row>
    <row r="15" spans="1:7" x14ac:dyDescent="0.55000000000000004">
      <c r="A15" t="s">
        <v>3</v>
      </c>
      <c r="B15" t="s">
        <v>10</v>
      </c>
      <c r="C15" s="2">
        <v>3209.2099609375</v>
      </c>
      <c r="D15" s="2">
        <v>5107.52978515625</v>
      </c>
      <c r="E15" s="2">
        <v>571.92999267578125</v>
      </c>
      <c r="F15" s="2">
        <f>SUM(C15:E15)</f>
        <v>8888.6697387695313</v>
      </c>
      <c r="G15" t="s">
        <v>60</v>
      </c>
    </row>
    <row r="16" spans="1:7" x14ac:dyDescent="0.55000000000000004">
      <c r="A16" t="s">
        <v>8</v>
      </c>
      <c r="B16" t="s">
        <v>21</v>
      </c>
      <c r="C16" s="2">
        <v>4926.490234375</v>
      </c>
      <c r="D16" s="2">
        <v>2551.800048828125</v>
      </c>
      <c r="E16" s="2">
        <v>3888.2099609375</v>
      </c>
      <c r="F16" s="2">
        <f>SUM(C16:E16)</f>
        <v>11366.500244140625</v>
      </c>
      <c r="G16" t="s">
        <v>51</v>
      </c>
    </row>
    <row r="17" spans="1:7" x14ac:dyDescent="0.55000000000000004">
      <c r="A17" t="s">
        <v>7</v>
      </c>
      <c r="B17" t="s">
        <v>12</v>
      </c>
      <c r="C17" s="2">
        <v>934.1300048828125</v>
      </c>
      <c r="D17" s="2">
        <v>856.71002197265625</v>
      </c>
      <c r="E17" s="2">
        <v>4677.52978515625</v>
      </c>
      <c r="F17" s="2">
        <f>SUM(C17:E17)</f>
        <v>6468.3698120117188</v>
      </c>
      <c r="G17" t="s">
        <v>54</v>
      </c>
    </row>
    <row r="18" spans="1:7" x14ac:dyDescent="0.55000000000000004">
      <c r="A18" t="s">
        <v>5</v>
      </c>
      <c r="B18" t="s">
        <v>20</v>
      </c>
      <c r="C18" s="2">
        <v>3220.199951171875</v>
      </c>
      <c r="D18" s="2">
        <v>4775.77001953125</v>
      </c>
      <c r="E18" s="2">
        <v>1525.989990234375</v>
      </c>
      <c r="F18" s="2">
        <f>SUM(C18:E18)</f>
        <v>9521.9599609375</v>
      </c>
      <c r="G18" t="s">
        <v>34</v>
      </c>
    </row>
    <row r="19" spans="1:7" x14ac:dyDescent="0.55000000000000004">
      <c r="A19" t="s">
        <v>8</v>
      </c>
      <c r="B19" t="s">
        <v>4</v>
      </c>
      <c r="C19" s="2">
        <v>4379.0400390625</v>
      </c>
      <c r="D19" s="2">
        <v>2107.050048828125</v>
      </c>
      <c r="E19" s="2">
        <v>4296.25</v>
      </c>
      <c r="F19" s="2">
        <f>SUM(C19:E19)</f>
        <v>10782.340087890625</v>
      </c>
      <c r="G19" t="s">
        <v>65</v>
      </c>
    </row>
    <row r="20" spans="1:7" x14ac:dyDescent="0.55000000000000004">
      <c r="A20" t="s">
        <v>8</v>
      </c>
      <c r="B20" t="s">
        <v>19</v>
      </c>
      <c r="C20" s="2">
        <v>4314.9501953125</v>
      </c>
      <c r="D20" s="2">
        <v>1941.3499755859375</v>
      </c>
      <c r="E20" s="2">
        <v>4304.77978515625</v>
      </c>
      <c r="F20" s="2">
        <f>SUM(C20:E20)</f>
        <v>10561.079956054688</v>
      </c>
      <c r="G20" t="s">
        <v>44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1EBB-26A0-4842-83E6-26ED5727C000}">
  <sheetPr codeName="Sheet155"/>
  <dimension ref="A3:C24"/>
  <sheetViews>
    <sheetView workbookViewId="0"/>
  </sheetViews>
  <sheetFormatPr defaultRowHeight="14.4" x14ac:dyDescent="0.55000000000000004"/>
  <cols>
    <col min="1" max="1" width="20.83984375" bestFit="1" customWidth="1"/>
    <col min="2" max="2" width="15.47265625" bestFit="1" customWidth="1"/>
    <col min="3" max="3" width="12" bestFit="1" customWidth="1"/>
  </cols>
  <sheetData>
    <row r="3" spans="1:3" x14ac:dyDescent="0.55000000000000004">
      <c r="A3" s="4" t="s">
        <v>0</v>
      </c>
      <c r="B3" s="4" t="s">
        <v>1</v>
      </c>
      <c r="C3" t="s">
        <v>80</v>
      </c>
    </row>
    <row r="4" spans="1:3" x14ac:dyDescent="0.55000000000000004">
      <c r="A4" t="s">
        <v>7</v>
      </c>
      <c r="B4" t="s">
        <v>12</v>
      </c>
      <c r="C4" s="5">
        <v>6468.3698120117188</v>
      </c>
    </row>
    <row r="5" spans="1:3" x14ac:dyDescent="0.55000000000000004">
      <c r="B5" t="s">
        <v>9</v>
      </c>
      <c r="C5" s="5">
        <v>10073.400146484375</v>
      </c>
    </row>
    <row r="6" spans="1:3" x14ac:dyDescent="0.55000000000000004">
      <c r="B6" t="s">
        <v>19</v>
      </c>
      <c r="C6" s="5">
        <v>9515.7597045898438</v>
      </c>
    </row>
    <row r="7" spans="1:3" x14ac:dyDescent="0.55000000000000004">
      <c r="B7" t="s">
        <v>15</v>
      </c>
      <c r="C7" s="5">
        <v>5875.14013671875</v>
      </c>
    </row>
    <row r="8" spans="1:3" x14ac:dyDescent="0.55000000000000004">
      <c r="B8" t="s">
        <v>14</v>
      </c>
      <c r="C8" s="5">
        <v>10541.790161132813</v>
      </c>
    </row>
    <row r="9" spans="1:3" x14ac:dyDescent="0.55000000000000004">
      <c r="A9" t="s">
        <v>81</v>
      </c>
      <c r="C9" s="5">
        <v>42474.4599609375</v>
      </c>
    </row>
    <row r="10" spans="1:3" x14ac:dyDescent="0.55000000000000004">
      <c r="A10" t="s">
        <v>8</v>
      </c>
      <c r="B10" t="s">
        <v>21</v>
      </c>
      <c r="C10" s="5">
        <v>11366.500244140625</v>
      </c>
    </row>
    <row r="11" spans="1:3" x14ac:dyDescent="0.55000000000000004">
      <c r="B11" t="s">
        <v>19</v>
      </c>
      <c r="C11" s="5">
        <v>10561.079956054688</v>
      </c>
    </row>
    <row r="12" spans="1:3" x14ac:dyDescent="0.55000000000000004">
      <c r="B12" t="s">
        <v>6</v>
      </c>
      <c r="C12" s="5">
        <v>5766.7300262451172</v>
      </c>
    </row>
    <row r="13" spans="1:3" x14ac:dyDescent="0.55000000000000004">
      <c r="B13" t="s">
        <v>4</v>
      </c>
      <c r="C13" s="5">
        <v>10782.340087890625</v>
      </c>
    </row>
    <row r="14" spans="1:3" x14ac:dyDescent="0.55000000000000004">
      <c r="A14" t="s">
        <v>82</v>
      </c>
      <c r="C14" s="5">
        <v>38476.650314331055</v>
      </c>
    </row>
    <row r="15" spans="1:3" x14ac:dyDescent="0.55000000000000004">
      <c r="A15" t="s">
        <v>3</v>
      </c>
      <c r="B15" t="s">
        <v>20</v>
      </c>
      <c r="C15" s="5">
        <v>11507.640380859375</v>
      </c>
    </row>
    <row r="16" spans="1:3" x14ac:dyDescent="0.55000000000000004">
      <c r="B16" t="s">
        <v>10</v>
      </c>
      <c r="C16" s="5">
        <v>8888.6697387695313</v>
      </c>
    </row>
    <row r="17" spans="1:3" x14ac:dyDescent="0.55000000000000004">
      <c r="B17" t="s">
        <v>6</v>
      </c>
      <c r="C17" s="5">
        <v>10552.130126953125</v>
      </c>
    </row>
    <row r="18" spans="1:3" x14ac:dyDescent="0.55000000000000004">
      <c r="A18" t="s">
        <v>83</v>
      </c>
      <c r="C18" s="5">
        <v>30948.440246582031</v>
      </c>
    </row>
    <row r="19" spans="1:3" x14ac:dyDescent="0.55000000000000004">
      <c r="A19" t="s">
        <v>5</v>
      </c>
      <c r="B19" t="s">
        <v>20</v>
      </c>
      <c r="C19" s="5">
        <v>18012.299926757813</v>
      </c>
    </row>
    <row r="20" spans="1:3" x14ac:dyDescent="0.55000000000000004">
      <c r="B20" t="s">
        <v>12</v>
      </c>
      <c r="C20" s="5">
        <v>16568.309906005859</v>
      </c>
    </row>
    <row r="21" spans="1:3" x14ac:dyDescent="0.55000000000000004">
      <c r="B21" t="s">
        <v>16</v>
      </c>
      <c r="C21" s="5">
        <v>10907.619873046875</v>
      </c>
    </row>
    <row r="22" spans="1:3" x14ac:dyDescent="0.55000000000000004">
      <c r="B22" t="s">
        <v>18</v>
      </c>
      <c r="C22" s="5">
        <v>7686.690185546875</v>
      </c>
    </row>
    <row r="23" spans="1:3" x14ac:dyDescent="0.55000000000000004">
      <c r="A23" t="s">
        <v>84</v>
      </c>
      <c r="C23" s="5">
        <v>53174.919891357422</v>
      </c>
    </row>
    <row r="24" spans="1:3" x14ac:dyDescent="0.55000000000000004">
      <c r="A24" t="s">
        <v>79</v>
      </c>
      <c r="C24" s="5">
        <v>165074.47041320801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54842-E095-4B78-BCE8-9BBF3D890413}">
  <sheetPr codeName="Sheet156"/>
  <dimension ref="A1:F21"/>
  <sheetViews>
    <sheetView workbookViewId="0">
      <selection activeCell="A2" sqref="A2:F21"/>
    </sheetView>
  </sheetViews>
  <sheetFormatPr defaultRowHeight="14.4" x14ac:dyDescent="0.55000000000000004"/>
  <cols>
    <col min="3" max="5" width="9.7890625" bestFit="1" customWidth="1"/>
    <col min="6" max="6" width="10.7890625" bestFit="1" customWidth="1"/>
  </cols>
  <sheetData>
    <row r="1" spans="1:6" ht="20.399999999999999" x14ac:dyDescent="0.75">
      <c r="A1" s="1" t="s">
        <v>0</v>
      </c>
      <c r="B1" s="1" t="s">
        <v>1</v>
      </c>
      <c r="C1" s="1" t="s">
        <v>38</v>
      </c>
      <c r="D1" s="1" t="s">
        <v>39</v>
      </c>
      <c r="E1" s="1" t="s">
        <v>40</v>
      </c>
      <c r="F1" s="1" t="s">
        <v>2</v>
      </c>
    </row>
    <row r="2" spans="1:6" x14ac:dyDescent="0.55000000000000004">
      <c r="A2" t="s">
        <v>3</v>
      </c>
      <c r="B2" t="s">
        <v>14</v>
      </c>
      <c r="C2" s="2">
        <v>5125.6298828125</v>
      </c>
      <c r="D2" s="2">
        <v>636.92999267578125</v>
      </c>
      <c r="E2" s="2">
        <v>4522.64990234375</v>
      </c>
      <c r="F2" s="2">
        <f>SUM(C2:E2)</f>
        <v>10285.209777832031</v>
      </c>
    </row>
    <row r="3" spans="1:6" x14ac:dyDescent="0.55000000000000004">
      <c r="A3" t="s">
        <v>7</v>
      </c>
      <c r="B3" t="s">
        <v>18</v>
      </c>
      <c r="C3" s="2">
        <v>852.77001953125</v>
      </c>
      <c r="D3" s="2">
        <v>927.1500244140625</v>
      </c>
      <c r="E3" s="2">
        <v>2174.64990234375</v>
      </c>
      <c r="F3" s="2">
        <f>SUM(C3:E3)</f>
        <v>3954.5699462890625</v>
      </c>
    </row>
    <row r="4" spans="1:6" x14ac:dyDescent="0.55000000000000004">
      <c r="A4" t="s">
        <v>3</v>
      </c>
      <c r="B4" t="s">
        <v>16</v>
      </c>
      <c r="C4" s="2">
        <v>2039.5999755859375</v>
      </c>
      <c r="D4" s="2">
        <v>1450.81005859375</v>
      </c>
      <c r="E4" s="2">
        <v>538.66998291015625</v>
      </c>
      <c r="F4" s="2">
        <f>SUM(C4:E4)</f>
        <v>4029.0800170898438</v>
      </c>
    </row>
    <row r="5" spans="1:6" x14ac:dyDescent="0.55000000000000004">
      <c r="A5" t="s">
        <v>8</v>
      </c>
      <c r="B5" t="s">
        <v>11</v>
      </c>
      <c r="C5" s="2">
        <v>2101.419921875</v>
      </c>
      <c r="D5" s="2">
        <v>4750.18017578125</v>
      </c>
      <c r="E5" s="2">
        <v>3623.64990234375</v>
      </c>
      <c r="F5" s="2">
        <f>SUM(C5:E5)</f>
        <v>10475.25</v>
      </c>
    </row>
    <row r="6" spans="1:6" x14ac:dyDescent="0.55000000000000004">
      <c r="A6" t="s">
        <v>3</v>
      </c>
      <c r="B6" t="s">
        <v>18</v>
      </c>
      <c r="C6" s="2">
        <v>301.26998901367188</v>
      </c>
      <c r="D6" s="2">
        <v>531.15997314453125</v>
      </c>
      <c r="E6" s="2">
        <v>4826.5498046875</v>
      </c>
      <c r="F6" s="2">
        <f>SUM(C6:E6)</f>
        <v>5658.9797668457031</v>
      </c>
    </row>
    <row r="7" spans="1:6" x14ac:dyDescent="0.55000000000000004">
      <c r="A7" t="s">
        <v>5</v>
      </c>
      <c r="B7" t="s">
        <v>6</v>
      </c>
      <c r="C7" s="2">
        <v>1235.1400146484375</v>
      </c>
      <c r="D7" s="2">
        <v>3692.3798828125</v>
      </c>
      <c r="E7" s="2">
        <v>3391.8798828125</v>
      </c>
      <c r="F7" s="2">
        <f>SUM(C7:E7)</f>
        <v>8319.3997802734375</v>
      </c>
    </row>
    <row r="8" spans="1:6" x14ac:dyDescent="0.55000000000000004">
      <c r="A8" t="s">
        <v>3</v>
      </c>
      <c r="B8" t="s">
        <v>10</v>
      </c>
      <c r="C8" s="2">
        <v>1126.3499755859375</v>
      </c>
      <c r="D8" s="2">
        <v>4738.669921875</v>
      </c>
      <c r="E8" s="2">
        <v>280.79000854492188</v>
      </c>
      <c r="F8" s="2">
        <f>SUM(C8:E8)</f>
        <v>6145.8099060058594</v>
      </c>
    </row>
    <row r="9" spans="1:6" x14ac:dyDescent="0.55000000000000004">
      <c r="A9" t="s">
        <v>5</v>
      </c>
      <c r="B9" t="s">
        <v>18</v>
      </c>
      <c r="C9" s="2">
        <v>3501.47998046875</v>
      </c>
      <c r="D9" s="2">
        <v>3612.719970703125</v>
      </c>
      <c r="E9" s="2">
        <v>4097.7900390625</v>
      </c>
      <c r="F9" s="2">
        <f>SUM(C9:E9)</f>
        <v>11211.989990234375</v>
      </c>
    </row>
    <row r="10" spans="1:6" x14ac:dyDescent="0.55000000000000004">
      <c r="A10" t="s">
        <v>8</v>
      </c>
      <c r="B10" t="s">
        <v>18</v>
      </c>
      <c r="C10" s="2">
        <v>2996.4599609375</v>
      </c>
      <c r="D10" s="2">
        <v>4448.759765625</v>
      </c>
      <c r="E10" s="2">
        <v>3314.219970703125</v>
      </c>
      <c r="F10" s="2">
        <f>SUM(C10:E10)</f>
        <v>10759.439697265625</v>
      </c>
    </row>
    <row r="11" spans="1:6" x14ac:dyDescent="0.55000000000000004">
      <c r="A11" t="s">
        <v>5</v>
      </c>
      <c r="B11" t="s">
        <v>11</v>
      </c>
      <c r="C11" s="2">
        <v>5089.43994140625</v>
      </c>
      <c r="D11" s="2">
        <v>1608.239990234375</v>
      </c>
      <c r="E11" s="2">
        <v>2458.02001953125</v>
      </c>
      <c r="F11" s="2">
        <f>SUM(C11:E11)</f>
        <v>9155.699951171875</v>
      </c>
    </row>
    <row r="12" spans="1:6" x14ac:dyDescent="0.55000000000000004">
      <c r="A12" t="s">
        <v>3</v>
      </c>
      <c r="B12" t="s">
        <v>17</v>
      </c>
      <c r="C12" s="2">
        <v>929.21002197265625</v>
      </c>
      <c r="D12" s="2">
        <v>3241.47998046875</v>
      </c>
      <c r="E12" s="2">
        <v>2288.239990234375</v>
      </c>
      <c r="F12" s="2">
        <f>SUM(C12:E12)</f>
        <v>6458.9299926757813</v>
      </c>
    </row>
    <row r="13" spans="1:6" x14ac:dyDescent="0.55000000000000004">
      <c r="A13" t="s">
        <v>3</v>
      </c>
      <c r="B13" t="s">
        <v>13</v>
      </c>
      <c r="C13" s="2">
        <v>3014.739990234375</v>
      </c>
      <c r="D13" s="2">
        <v>3858.340087890625</v>
      </c>
      <c r="E13" s="2">
        <v>3254.72998046875</v>
      </c>
      <c r="F13" s="2">
        <f>SUM(C13:E13)</f>
        <v>10127.81005859375</v>
      </c>
    </row>
    <row r="14" spans="1:6" x14ac:dyDescent="0.55000000000000004">
      <c r="A14" t="s">
        <v>8</v>
      </c>
      <c r="B14" t="s">
        <v>17</v>
      </c>
      <c r="C14" s="2">
        <v>1861.4100341796875</v>
      </c>
      <c r="D14" s="2">
        <v>4251.6201171875</v>
      </c>
      <c r="E14" s="2">
        <v>962.52001953125</v>
      </c>
      <c r="F14" s="2">
        <f>SUM(C14:E14)</f>
        <v>7075.5501708984375</v>
      </c>
    </row>
    <row r="15" spans="1:6" x14ac:dyDescent="0.55000000000000004">
      <c r="A15" t="s">
        <v>8</v>
      </c>
      <c r="B15" t="s">
        <v>14</v>
      </c>
      <c r="C15" s="2">
        <v>4477.740234375</v>
      </c>
      <c r="D15" s="2">
        <v>5051.009765625</v>
      </c>
      <c r="E15" s="2">
        <v>3556.72998046875</v>
      </c>
      <c r="F15" s="2">
        <f>SUM(C15:E15)</f>
        <v>13085.47998046875</v>
      </c>
    </row>
    <row r="16" spans="1:6" x14ac:dyDescent="0.55000000000000004">
      <c r="A16" t="s">
        <v>8</v>
      </c>
      <c r="B16" t="s">
        <v>19</v>
      </c>
      <c r="C16" s="2">
        <v>3177</v>
      </c>
      <c r="D16" s="2">
        <v>2085.260009765625</v>
      </c>
      <c r="E16" s="2">
        <v>245.42999267578125</v>
      </c>
      <c r="F16" s="2">
        <f>SUM(C16:E16)</f>
        <v>5507.6900024414063</v>
      </c>
    </row>
    <row r="17" spans="1:6" x14ac:dyDescent="0.55000000000000004">
      <c r="A17" t="s">
        <v>8</v>
      </c>
      <c r="B17" t="s">
        <v>10</v>
      </c>
      <c r="C17" s="2">
        <v>2100.239990234375</v>
      </c>
      <c r="D17" s="2">
        <v>5172.39990234375</v>
      </c>
      <c r="E17" s="2">
        <v>4850.8798828125</v>
      </c>
      <c r="F17" s="2">
        <f>SUM(C17:E17)</f>
        <v>12123.519775390625</v>
      </c>
    </row>
    <row r="18" spans="1:6" x14ac:dyDescent="0.55000000000000004">
      <c r="A18" t="s">
        <v>5</v>
      </c>
      <c r="B18" t="s">
        <v>13</v>
      </c>
      <c r="C18" s="2">
        <v>2660.580078125</v>
      </c>
      <c r="D18" s="2">
        <v>458.85000610351563</v>
      </c>
      <c r="E18" s="2">
        <v>2776.6298828125</v>
      </c>
      <c r="F18" s="2">
        <f>SUM(C18:E18)</f>
        <v>5896.0599670410156</v>
      </c>
    </row>
    <row r="19" spans="1:6" x14ac:dyDescent="0.55000000000000004">
      <c r="A19" t="s">
        <v>8</v>
      </c>
      <c r="B19" t="s">
        <v>10</v>
      </c>
      <c r="C19" s="2">
        <v>2697.469970703125</v>
      </c>
      <c r="D19" s="2">
        <v>690.90997314453125</v>
      </c>
      <c r="E19" s="2">
        <v>1989.8199462890625</v>
      </c>
      <c r="F19" s="2">
        <f>SUM(C19:E19)</f>
        <v>5378.1998901367188</v>
      </c>
    </row>
    <row r="20" spans="1:6" x14ac:dyDescent="0.55000000000000004">
      <c r="A20" t="s">
        <v>8</v>
      </c>
      <c r="B20" t="s">
        <v>9</v>
      </c>
      <c r="C20" s="2">
        <v>4408.1201171875</v>
      </c>
      <c r="D20" s="2">
        <v>1967.3399658203125</v>
      </c>
      <c r="E20" s="2">
        <v>1122.8599853515625</v>
      </c>
      <c r="F20" s="2">
        <f>SUM(C20:E20)</f>
        <v>7498.320068359375</v>
      </c>
    </row>
    <row r="21" spans="1:6" x14ac:dyDescent="0.55000000000000004">
      <c r="A21" t="s">
        <v>7</v>
      </c>
      <c r="B21" t="s">
        <v>17</v>
      </c>
      <c r="C21" s="2">
        <v>3491.43994140625</v>
      </c>
      <c r="D21" s="2">
        <v>3417.02001953125</v>
      </c>
      <c r="E21" s="2">
        <v>4112.3798828125</v>
      </c>
      <c r="F21" s="2">
        <f>SUM(C21:E21)</f>
        <v>11020.83984375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5401E-04F2-439B-8E3D-B216340C4172}">
  <sheetPr codeName="Sheet157"/>
  <dimension ref="A1:G20"/>
  <sheetViews>
    <sheetView workbookViewId="0">
      <selection activeCell="F20" sqref="F20"/>
    </sheetView>
  </sheetViews>
  <sheetFormatPr defaultRowHeight="14.4" x14ac:dyDescent="0.55000000000000004"/>
  <cols>
    <col min="3" max="5" width="9.7890625" bestFit="1" customWidth="1"/>
    <col min="6" max="6" width="10.7890625" bestFit="1" customWidth="1"/>
    <col min="7" max="7" width="0" hidden="1" customWidth="1"/>
  </cols>
  <sheetData>
    <row r="1" spans="1:7" ht="20.399999999999999" x14ac:dyDescent="0.75">
      <c r="A1" s="1" t="s">
        <v>0</v>
      </c>
      <c r="B1" s="1" t="s">
        <v>1</v>
      </c>
      <c r="C1" s="3" t="s">
        <v>38</v>
      </c>
      <c r="D1" s="3" t="s">
        <v>39</v>
      </c>
      <c r="E1" s="3" t="s">
        <v>40</v>
      </c>
      <c r="F1" s="3" t="s">
        <v>2</v>
      </c>
      <c r="G1" t="s">
        <v>28</v>
      </c>
    </row>
    <row r="2" spans="1:7" x14ac:dyDescent="0.55000000000000004">
      <c r="A2" t="s">
        <v>7</v>
      </c>
      <c r="B2" t="s">
        <v>18</v>
      </c>
      <c r="C2" s="2">
        <v>852.77001953125</v>
      </c>
      <c r="D2" s="2">
        <v>927.1500244140625</v>
      </c>
      <c r="E2" s="2">
        <v>2174.64990234375</v>
      </c>
      <c r="F2" s="2">
        <f>SUM(C2:E2)</f>
        <v>3954.5699462890625</v>
      </c>
      <c r="G2" t="s">
        <v>45</v>
      </c>
    </row>
    <row r="3" spans="1:7" x14ac:dyDescent="0.55000000000000004">
      <c r="A3" t="s">
        <v>3</v>
      </c>
      <c r="B3" t="s">
        <v>16</v>
      </c>
      <c r="C3" s="2">
        <v>2039.5999755859375</v>
      </c>
      <c r="D3" s="2">
        <v>1450.81005859375</v>
      </c>
      <c r="E3" s="2">
        <v>538.66998291015625</v>
      </c>
      <c r="F3" s="2">
        <f>SUM(C3:E3)</f>
        <v>4029.0800170898438</v>
      </c>
      <c r="G3" t="s">
        <v>68</v>
      </c>
    </row>
    <row r="4" spans="1:7" x14ac:dyDescent="0.55000000000000004">
      <c r="A4" t="s">
        <v>8</v>
      </c>
      <c r="B4" t="s">
        <v>11</v>
      </c>
      <c r="C4" s="2">
        <v>2101.419921875</v>
      </c>
      <c r="D4" s="2">
        <v>4750.18017578125</v>
      </c>
      <c r="E4" s="2">
        <v>3623.64990234375</v>
      </c>
      <c r="F4" s="2">
        <f>SUM(C4:E4)</f>
        <v>10475.25</v>
      </c>
      <c r="G4" t="s">
        <v>72</v>
      </c>
    </row>
    <row r="5" spans="1:7" x14ac:dyDescent="0.55000000000000004">
      <c r="A5" t="s">
        <v>3</v>
      </c>
      <c r="B5" t="s">
        <v>18</v>
      </c>
      <c r="C5" s="2">
        <v>301.26998901367188</v>
      </c>
      <c r="D5" s="2">
        <v>531.15997314453125</v>
      </c>
      <c r="E5" s="2">
        <v>4826.5498046875</v>
      </c>
      <c r="F5" s="2">
        <f>SUM(C5:E5)</f>
        <v>5658.9797668457031</v>
      </c>
      <c r="G5" t="s">
        <v>55</v>
      </c>
    </row>
    <row r="6" spans="1:7" x14ac:dyDescent="0.55000000000000004">
      <c r="A6" t="s">
        <v>5</v>
      </c>
      <c r="B6" t="s">
        <v>6</v>
      </c>
      <c r="C6" s="2">
        <v>1235.1400146484375</v>
      </c>
      <c r="D6" s="2">
        <v>3692.3798828125</v>
      </c>
      <c r="E6" s="2">
        <v>3391.8798828125</v>
      </c>
      <c r="F6" s="2">
        <f>SUM(C6:E6)</f>
        <v>8319.3997802734375</v>
      </c>
      <c r="G6" t="s">
        <v>63</v>
      </c>
    </row>
    <row r="7" spans="1:7" x14ac:dyDescent="0.55000000000000004">
      <c r="A7" t="s">
        <v>3</v>
      </c>
      <c r="B7" t="s">
        <v>10</v>
      </c>
      <c r="C7" s="2">
        <v>1126.3499755859375</v>
      </c>
      <c r="D7" s="2">
        <v>4738.669921875</v>
      </c>
      <c r="E7" s="2">
        <v>280.79000854492188</v>
      </c>
      <c r="F7" s="2">
        <f>SUM(C7:E7)</f>
        <v>6145.8099060058594</v>
      </c>
      <c r="G7" t="s">
        <v>60</v>
      </c>
    </row>
    <row r="8" spans="1:7" x14ac:dyDescent="0.55000000000000004">
      <c r="A8" t="s">
        <v>5</v>
      </c>
      <c r="B8" t="s">
        <v>18</v>
      </c>
      <c r="C8" s="2">
        <v>3501.47998046875</v>
      </c>
      <c r="D8" s="2">
        <v>3612.719970703125</v>
      </c>
      <c r="E8" s="2">
        <v>4097.7900390625</v>
      </c>
      <c r="F8" s="2">
        <f>SUM(C8:E8)</f>
        <v>11211.989990234375</v>
      </c>
      <c r="G8" t="s">
        <v>78</v>
      </c>
    </row>
    <row r="9" spans="1:7" x14ac:dyDescent="0.55000000000000004">
      <c r="A9" t="s">
        <v>8</v>
      </c>
      <c r="B9" t="s">
        <v>18</v>
      </c>
      <c r="C9" s="2">
        <v>2996.4599609375</v>
      </c>
      <c r="D9" s="2">
        <v>4448.759765625</v>
      </c>
      <c r="E9" s="2">
        <v>3314.219970703125</v>
      </c>
      <c r="F9" s="2">
        <f>SUM(C9:E9)</f>
        <v>10759.439697265625</v>
      </c>
      <c r="G9" t="s">
        <v>70</v>
      </c>
    </row>
    <row r="10" spans="1:7" x14ac:dyDescent="0.55000000000000004">
      <c r="A10" t="s">
        <v>5</v>
      </c>
      <c r="B10" t="s">
        <v>11</v>
      </c>
      <c r="C10" s="2">
        <v>5089.43994140625</v>
      </c>
      <c r="D10" s="2">
        <v>1608.239990234375</v>
      </c>
      <c r="E10" s="2">
        <v>2458.02001953125</v>
      </c>
      <c r="F10" s="2">
        <f>SUM(C10:E10)</f>
        <v>9155.699951171875</v>
      </c>
      <c r="G10" t="s">
        <v>35</v>
      </c>
    </row>
    <row r="11" spans="1:7" x14ac:dyDescent="0.55000000000000004">
      <c r="A11" t="s">
        <v>3</v>
      </c>
      <c r="B11" t="s">
        <v>17</v>
      </c>
      <c r="C11" s="2">
        <v>929.21002197265625</v>
      </c>
      <c r="D11" s="2">
        <v>3241.47998046875</v>
      </c>
      <c r="E11" s="2">
        <v>2288.239990234375</v>
      </c>
      <c r="F11" s="2">
        <f>SUM(C11:E11)</f>
        <v>6458.9299926757813</v>
      </c>
      <c r="G11" t="s">
        <v>37</v>
      </c>
    </row>
    <row r="12" spans="1:7" x14ac:dyDescent="0.55000000000000004">
      <c r="A12" t="s">
        <v>3</v>
      </c>
      <c r="B12" t="s">
        <v>13</v>
      </c>
      <c r="C12" s="2">
        <v>3014.739990234375</v>
      </c>
      <c r="D12" s="2">
        <v>3858.340087890625</v>
      </c>
      <c r="E12" s="2">
        <v>3254.72998046875</v>
      </c>
      <c r="F12" s="2">
        <f>SUM(C12:E12)</f>
        <v>10127.81005859375</v>
      </c>
      <c r="G12" t="s">
        <v>61</v>
      </c>
    </row>
    <row r="13" spans="1:7" x14ac:dyDescent="0.55000000000000004">
      <c r="A13" t="s">
        <v>8</v>
      </c>
      <c r="B13" t="s">
        <v>17</v>
      </c>
      <c r="C13" s="2">
        <v>1861.4100341796875</v>
      </c>
      <c r="D13" s="2">
        <v>4251.6201171875</v>
      </c>
      <c r="E13" s="2">
        <v>962.52001953125</v>
      </c>
      <c r="F13" s="2">
        <f>SUM(C13:E13)</f>
        <v>7075.5501708984375</v>
      </c>
      <c r="G13" t="s">
        <v>33</v>
      </c>
    </row>
    <row r="14" spans="1:7" x14ac:dyDescent="0.55000000000000004">
      <c r="A14" t="s">
        <v>8</v>
      </c>
      <c r="B14" t="s">
        <v>14</v>
      </c>
      <c r="C14" s="2">
        <v>4477.740234375</v>
      </c>
      <c r="D14" s="2">
        <v>5051.009765625</v>
      </c>
      <c r="E14" s="2">
        <v>3556.72998046875</v>
      </c>
      <c r="F14" s="2">
        <f>SUM(C14:E14)</f>
        <v>13085.47998046875</v>
      </c>
      <c r="G14" t="s">
        <v>56</v>
      </c>
    </row>
    <row r="15" spans="1:7" x14ac:dyDescent="0.55000000000000004">
      <c r="A15" t="s">
        <v>8</v>
      </c>
      <c r="B15" t="s">
        <v>19</v>
      </c>
      <c r="C15" s="2">
        <v>3177</v>
      </c>
      <c r="D15" s="2">
        <v>2085.260009765625</v>
      </c>
      <c r="E15" s="2">
        <v>245.42999267578125</v>
      </c>
      <c r="F15" s="2">
        <f>SUM(C15:E15)</f>
        <v>5507.6900024414063</v>
      </c>
      <c r="G15" t="s">
        <v>44</v>
      </c>
    </row>
    <row r="16" spans="1:7" x14ac:dyDescent="0.55000000000000004">
      <c r="A16" t="s">
        <v>8</v>
      </c>
      <c r="B16" t="s">
        <v>10</v>
      </c>
      <c r="C16" s="2">
        <v>2100.239990234375</v>
      </c>
      <c r="D16" s="2">
        <v>5172.39990234375</v>
      </c>
      <c r="E16" s="2">
        <v>4850.8798828125</v>
      </c>
      <c r="F16" s="2">
        <f>SUM(C16:E16)</f>
        <v>12123.519775390625</v>
      </c>
      <c r="G16" t="s">
        <v>73</v>
      </c>
    </row>
    <row r="17" spans="1:7" x14ac:dyDescent="0.55000000000000004">
      <c r="A17" t="s">
        <v>5</v>
      </c>
      <c r="B17" t="s">
        <v>13</v>
      </c>
      <c r="C17" s="2">
        <v>2660.580078125</v>
      </c>
      <c r="D17" s="2">
        <v>458.85000610351563</v>
      </c>
      <c r="E17" s="2">
        <v>2776.6298828125</v>
      </c>
      <c r="F17" s="2">
        <f>SUM(C17:E17)</f>
        <v>5896.0599670410156</v>
      </c>
      <c r="G17" t="s">
        <v>52</v>
      </c>
    </row>
    <row r="18" spans="1:7" x14ac:dyDescent="0.55000000000000004">
      <c r="A18" t="s">
        <v>8</v>
      </c>
      <c r="B18" t="s">
        <v>10</v>
      </c>
      <c r="C18" s="2">
        <v>2697.469970703125</v>
      </c>
      <c r="D18" s="2">
        <v>690.90997314453125</v>
      </c>
      <c r="E18" s="2">
        <v>1989.8199462890625</v>
      </c>
      <c r="F18" s="2">
        <f>SUM(C18:E18)</f>
        <v>5378.1998901367188</v>
      </c>
      <c r="G18" t="s">
        <v>73</v>
      </c>
    </row>
    <row r="19" spans="1:7" x14ac:dyDescent="0.55000000000000004">
      <c r="A19" t="s">
        <v>8</v>
      </c>
      <c r="B19" t="s">
        <v>9</v>
      </c>
      <c r="C19" s="2">
        <v>4408.1201171875</v>
      </c>
      <c r="D19" s="2">
        <v>1967.3399658203125</v>
      </c>
      <c r="E19" s="2">
        <v>1122.8599853515625</v>
      </c>
      <c r="F19" s="2">
        <f>SUM(C19:E19)</f>
        <v>7498.320068359375</v>
      </c>
      <c r="G19" t="s">
        <v>74</v>
      </c>
    </row>
    <row r="20" spans="1:7" x14ac:dyDescent="0.55000000000000004">
      <c r="A20" t="s">
        <v>7</v>
      </c>
      <c r="B20" t="s">
        <v>17</v>
      </c>
      <c r="C20" s="2">
        <v>3491.43994140625</v>
      </c>
      <c r="D20" s="2">
        <v>3417.02001953125</v>
      </c>
      <c r="E20" s="2">
        <v>4112.3798828125</v>
      </c>
      <c r="F20" s="2">
        <f>SUM(C20:E20)</f>
        <v>11020.83984375</v>
      </c>
      <c r="G20" t="s">
        <v>67</v>
      </c>
    </row>
  </sheetData>
  <sheetProtection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5A471-9526-42E8-AC23-641D02B4D46F}">
  <sheetPr codeName="Sheet158"/>
  <dimension ref="A3:C26"/>
  <sheetViews>
    <sheetView workbookViewId="0"/>
  </sheetViews>
  <sheetFormatPr defaultRowHeight="14.4" x14ac:dyDescent="0.55000000000000004"/>
  <cols>
    <col min="1" max="1" width="19.26171875" bestFit="1" customWidth="1"/>
    <col min="2" max="2" width="13.89453125" bestFit="1" customWidth="1"/>
    <col min="3" max="3" width="12" bestFit="1" customWidth="1"/>
  </cols>
  <sheetData>
    <row r="3" spans="1:3" x14ac:dyDescent="0.55000000000000004">
      <c r="A3" s="4" t="s">
        <v>0</v>
      </c>
      <c r="B3" s="4" t="s">
        <v>1</v>
      </c>
      <c r="C3" t="s">
        <v>80</v>
      </c>
    </row>
    <row r="4" spans="1:3" x14ac:dyDescent="0.55000000000000004">
      <c r="A4" t="s">
        <v>7</v>
      </c>
      <c r="B4" t="s">
        <v>18</v>
      </c>
      <c r="C4" s="5">
        <v>3954.5699462890625</v>
      </c>
    </row>
    <row r="5" spans="1:3" x14ac:dyDescent="0.55000000000000004">
      <c r="B5" t="s">
        <v>17</v>
      </c>
      <c r="C5" s="5">
        <v>11020.83984375</v>
      </c>
    </row>
    <row r="6" spans="1:3" x14ac:dyDescent="0.55000000000000004">
      <c r="A6" t="s">
        <v>81</v>
      </c>
      <c r="C6" s="5">
        <v>14975.409790039063</v>
      </c>
    </row>
    <row r="7" spans="1:3" x14ac:dyDescent="0.55000000000000004">
      <c r="A7" t="s">
        <v>8</v>
      </c>
      <c r="B7" t="s">
        <v>10</v>
      </c>
      <c r="C7" s="5">
        <v>17501.719665527344</v>
      </c>
    </row>
    <row r="8" spans="1:3" x14ac:dyDescent="0.55000000000000004">
      <c r="B8" t="s">
        <v>11</v>
      </c>
      <c r="C8" s="5">
        <v>10475.25</v>
      </c>
    </row>
    <row r="9" spans="1:3" x14ac:dyDescent="0.55000000000000004">
      <c r="B9" t="s">
        <v>9</v>
      </c>
      <c r="C9" s="5">
        <v>7498.320068359375</v>
      </c>
    </row>
    <row r="10" spans="1:3" x14ac:dyDescent="0.55000000000000004">
      <c r="B10" t="s">
        <v>19</v>
      </c>
      <c r="C10" s="5">
        <v>5507.6900024414063</v>
      </c>
    </row>
    <row r="11" spans="1:3" x14ac:dyDescent="0.55000000000000004">
      <c r="B11" t="s">
        <v>14</v>
      </c>
      <c r="C11" s="5">
        <v>13085.47998046875</v>
      </c>
    </row>
    <row r="12" spans="1:3" x14ac:dyDescent="0.55000000000000004">
      <c r="B12" t="s">
        <v>18</v>
      </c>
      <c r="C12" s="5">
        <v>10759.439697265625</v>
      </c>
    </row>
    <row r="13" spans="1:3" x14ac:dyDescent="0.55000000000000004">
      <c r="B13" t="s">
        <v>17</v>
      </c>
      <c r="C13" s="5">
        <v>7075.5501708984375</v>
      </c>
    </row>
    <row r="14" spans="1:3" x14ac:dyDescent="0.55000000000000004">
      <c r="A14" t="s">
        <v>82</v>
      </c>
      <c r="C14" s="5">
        <v>71903.449584960938</v>
      </c>
    </row>
    <row r="15" spans="1:3" x14ac:dyDescent="0.55000000000000004">
      <c r="A15" t="s">
        <v>3</v>
      </c>
      <c r="B15" t="s">
        <v>10</v>
      </c>
      <c r="C15" s="5">
        <v>6145.8099060058594</v>
      </c>
    </row>
    <row r="16" spans="1:3" x14ac:dyDescent="0.55000000000000004">
      <c r="B16" t="s">
        <v>16</v>
      </c>
      <c r="C16" s="5">
        <v>4029.0800170898438</v>
      </c>
    </row>
    <row r="17" spans="1:3" x14ac:dyDescent="0.55000000000000004">
      <c r="B17" t="s">
        <v>18</v>
      </c>
      <c r="C17" s="5">
        <v>5658.9797668457031</v>
      </c>
    </row>
    <row r="18" spans="1:3" x14ac:dyDescent="0.55000000000000004">
      <c r="B18" t="s">
        <v>13</v>
      </c>
      <c r="C18" s="5">
        <v>10127.81005859375</v>
      </c>
    </row>
    <row r="19" spans="1:3" x14ac:dyDescent="0.55000000000000004">
      <c r="B19" t="s">
        <v>17</v>
      </c>
      <c r="C19" s="5">
        <v>6458.9299926757813</v>
      </c>
    </row>
    <row r="20" spans="1:3" x14ac:dyDescent="0.55000000000000004">
      <c r="A20" t="s">
        <v>83</v>
      </c>
      <c r="C20" s="5">
        <v>32420.609741210938</v>
      </c>
    </row>
    <row r="21" spans="1:3" x14ac:dyDescent="0.55000000000000004">
      <c r="A21" t="s">
        <v>5</v>
      </c>
      <c r="B21" t="s">
        <v>11</v>
      </c>
      <c r="C21" s="5">
        <v>9155.699951171875</v>
      </c>
    </row>
    <row r="22" spans="1:3" x14ac:dyDescent="0.55000000000000004">
      <c r="B22" t="s">
        <v>6</v>
      </c>
      <c r="C22" s="5">
        <v>8319.3997802734375</v>
      </c>
    </row>
    <row r="23" spans="1:3" x14ac:dyDescent="0.55000000000000004">
      <c r="B23" t="s">
        <v>18</v>
      </c>
      <c r="C23" s="5">
        <v>11211.989990234375</v>
      </c>
    </row>
    <row r="24" spans="1:3" x14ac:dyDescent="0.55000000000000004">
      <c r="B24" t="s">
        <v>13</v>
      </c>
      <c r="C24" s="5">
        <v>5896.0599670410156</v>
      </c>
    </row>
    <row r="25" spans="1:3" x14ac:dyDescent="0.55000000000000004">
      <c r="A25" t="s">
        <v>84</v>
      </c>
      <c r="C25" s="5">
        <v>34583.149688720703</v>
      </c>
    </row>
    <row r="26" spans="1:3" x14ac:dyDescent="0.55000000000000004">
      <c r="A26" t="s">
        <v>79</v>
      </c>
      <c r="C26" s="5">
        <v>153882.61880493164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3DCF3-7152-458A-82A5-14CC614FE6C5}">
  <sheetPr codeName="Sheet159"/>
  <dimension ref="A1:F21"/>
  <sheetViews>
    <sheetView workbookViewId="0">
      <selection activeCell="A2" sqref="A2:F21"/>
    </sheetView>
  </sheetViews>
  <sheetFormatPr defaultRowHeight="14.4" x14ac:dyDescent="0.55000000000000004"/>
  <cols>
    <col min="3" max="5" width="9.7890625" bestFit="1" customWidth="1"/>
    <col min="6" max="6" width="10.7890625" bestFit="1" customWidth="1"/>
  </cols>
  <sheetData>
    <row r="1" spans="1:6" ht="20.399999999999999" x14ac:dyDescent="0.75">
      <c r="A1" s="1" t="s">
        <v>0</v>
      </c>
      <c r="B1" s="1" t="s">
        <v>1</v>
      </c>
      <c r="C1" s="1" t="s">
        <v>57</v>
      </c>
      <c r="D1" s="1" t="s">
        <v>58</v>
      </c>
      <c r="E1" s="1" t="s">
        <v>59</v>
      </c>
      <c r="F1" s="1" t="s">
        <v>2</v>
      </c>
    </row>
    <row r="2" spans="1:6" x14ac:dyDescent="0.55000000000000004">
      <c r="A2" t="s">
        <v>3</v>
      </c>
      <c r="B2" t="s">
        <v>15</v>
      </c>
      <c r="C2" s="2">
        <v>3341.52001953125</v>
      </c>
      <c r="D2" s="2">
        <v>5009.06005859375</v>
      </c>
      <c r="E2" s="2">
        <v>596.94000244140625</v>
      </c>
      <c r="F2" s="2">
        <f>SUM(C2:E2)</f>
        <v>8947.5200805664063</v>
      </c>
    </row>
    <row r="3" spans="1:6" x14ac:dyDescent="0.55000000000000004">
      <c r="A3" t="s">
        <v>5</v>
      </c>
      <c r="B3" t="s">
        <v>19</v>
      </c>
      <c r="C3" s="2">
        <v>4902.580078125</v>
      </c>
      <c r="D3" s="2">
        <v>3222.300048828125</v>
      </c>
      <c r="E3" s="2">
        <v>3205.43994140625</v>
      </c>
      <c r="F3" s="2">
        <f>SUM(C3:E3)</f>
        <v>11330.320068359375</v>
      </c>
    </row>
    <row r="4" spans="1:6" x14ac:dyDescent="0.55000000000000004">
      <c r="A4" t="s">
        <v>3</v>
      </c>
      <c r="B4" t="s">
        <v>15</v>
      </c>
      <c r="C4" s="2">
        <v>491.239990234375</v>
      </c>
      <c r="D4" s="2">
        <v>2312.929931640625</v>
      </c>
      <c r="E4" s="2">
        <v>551.17999267578125</v>
      </c>
      <c r="F4" s="2">
        <f>SUM(C4:E4)</f>
        <v>3355.3499145507813</v>
      </c>
    </row>
    <row r="5" spans="1:6" x14ac:dyDescent="0.55000000000000004">
      <c r="A5" t="s">
        <v>5</v>
      </c>
      <c r="B5" t="s">
        <v>6</v>
      </c>
      <c r="C5" s="2">
        <v>3754.64990234375</v>
      </c>
      <c r="D5" s="2">
        <v>299.510009765625</v>
      </c>
      <c r="E5" s="2">
        <v>1698.56005859375</v>
      </c>
      <c r="F5" s="2">
        <f>SUM(C5:E5)</f>
        <v>5752.719970703125</v>
      </c>
    </row>
    <row r="6" spans="1:6" x14ac:dyDescent="0.55000000000000004">
      <c r="A6" t="s">
        <v>8</v>
      </c>
      <c r="B6" t="s">
        <v>6</v>
      </c>
      <c r="C6" s="2">
        <v>2223.919921875</v>
      </c>
      <c r="D6" s="2">
        <v>2318.159912109375</v>
      </c>
      <c r="E6" s="2">
        <v>3050.739990234375</v>
      </c>
      <c r="F6" s="2">
        <f>SUM(C6:E6)</f>
        <v>7592.81982421875</v>
      </c>
    </row>
    <row r="7" spans="1:6" x14ac:dyDescent="0.55000000000000004">
      <c r="A7" t="s">
        <v>5</v>
      </c>
      <c r="B7" t="s">
        <v>10</v>
      </c>
      <c r="C7" s="2">
        <v>1280.449951171875</v>
      </c>
      <c r="D7" s="2">
        <v>3958.06005859375</v>
      </c>
      <c r="E7" s="2">
        <v>2640.010009765625</v>
      </c>
      <c r="F7" s="2">
        <f>SUM(C7:E7)</f>
        <v>7878.52001953125</v>
      </c>
    </row>
    <row r="8" spans="1:6" x14ac:dyDescent="0.55000000000000004">
      <c r="A8" t="s">
        <v>5</v>
      </c>
      <c r="B8" t="s">
        <v>6</v>
      </c>
      <c r="C8" s="2">
        <v>268.54000854492188</v>
      </c>
      <c r="D8" s="2">
        <v>970.530029296875</v>
      </c>
      <c r="E8" s="2">
        <v>1859.8599853515625</v>
      </c>
      <c r="F8" s="2">
        <f>SUM(C8:E8)</f>
        <v>3098.9300231933594</v>
      </c>
    </row>
    <row r="9" spans="1:6" x14ac:dyDescent="0.55000000000000004">
      <c r="A9" t="s">
        <v>5</v>
      </c>
      <c r="B9" t="s">
        <v>15</v>
      </c>
      <c r="C9" s="2">
        <v>1119.239990234375</v>
      </c>
      <c r="D9" s="2">
        <v>3006.75</v>
      </c>
      <c r="E9" s="2">
        <v>423.75</v>
      </c>
      <c r="F9" s="2">
        <f>SUM(C9:E9)</f>
        <v>4549.739990234375</v>
      </c>
    </row>
    <row r="10" spans="1:6" x14ac:dyDescent="0.55000000000000004">
      <c r="A10" t="s">
        <v>5</v>
      </c>
      <c r="B10" t="s">
        <v>13</v>
      </c>
      <c r="C10" s="2">
        <v>4542.919921875</v>
      </c>
      <c r="D10" s="2">
        <v>4961.97998046875</v>
      </c>
      <c r="E10" s="2">
        <v>2566.7900390625</v>
      </c>
      <c r="F10" s="2">
        <f>SUM(C10:E10)</f>
        <v>12071.68994140625</v>
      </c>
    </row>
    <row r="11" spans="1:6" x14ac:dyDescent="0.55000000000000004">
      <c r="A11" t="s">
        <v>8</v>
      </c>
      <c r="B11" t="s">
        <v>13</v>
      </c>
      <c r="C11" s="2">
        <v>3598.820068359375</v>
      </c>
      <c r="D11" s="2">
        <v>251.25</v>
      </c>
      <c r="E11" s="2">
        <v>265.57998657226563</v>
      </c>
      <c r="F11" s="2">
        <f>SUM(C11:E11)</f>
        <v>4115.6500549316406</v>
      </c>
    </row>
    <row r="12" spans="1:6" x14ac:dyDescent="0.55000000000000004">
      <c r="A12" t="s">
        <v>7</v>
      </c>
      <c r="B12" t="s">
        <v>11</v>
      </c>
      <c r="C12" s="2">
        <v>4962.7001953125</v>
      </c>
      <c r="D12" s="2">
        <v>3803.340087890625</v>
      </c>
      <c r="E12" s="2">
        <v>3865.580078125</v>
      </c>
      <c r="F12" s="2">
        <f>SUM(C12:E12)</f>
        <v>12631.620361328125</v>
      </c>
    </row>
    <row r="13" spans="1:6" x14ac:dyDescent="0.55000000000000004">
      <c r="A13" t="s">
        <v>7</v>
      </c>
      <c r="B13" t="s">
        <v>19</v>
      </c>
      <c r="C13" s="2">
        <v>3628.580078125</v>
      </c>
      <c r="D13" s="2">
        <v>1314.9100341796875</v>
      </c>
      <c r="E13" s="2">
        <v>4240.740234375</v>
      </c>
      <c r="F13" s="2">
        <f>SUM(C13:E13)</f>
        <v>9184.2303466796875</v>
      </c>
    </row>
    <row r="14" spans="1:6" x14ac:dyDescent="0.55000000000000004">
      <c r="A14" t="s">
        <v>7</v>
      </c>
      <c r="B14" t="s">
        <v>20</v>
      </c>
      <c r="C14" s="2">
        <v>926.27001953125</v>
      </c>
      <c r="D14" s="2">
        <v>3869.780029296875</v>
      </c>
      <c r="E14" s="2">
        <v>2919.800048828125</v>
      </c>
      <c r="F14" s="2">
        <f>SUM(C14:E14)</f>
        <v>7715.85009765625</v>
      </c>
    </row>
    <row r="15" spans="1:6" x14ac:dyDescent="0.55000000000000004">
      <c r="A15" t="s">
        <v>5</v>
      </c>
      <c r="B15" t="s">
        <v>6</v>
      </c>
      <c r="C15" s="2">
        <v>3377.760009765625</v>
      </c>
      <c r="D15" s="2">
        <v>4104.10986328125</v>
      </c>
      <c r="E15" s="2">
        <v>387.89999389648438</v>
      </c>
      <c r="F15" s="2">
        <f>SUM(C15:E15)</f>
        <v>7869.7698669433594</v>
      </c>
    </row>
    <row r="16" spans="1:6" x14ac:dyDescent="0.55000000000000004">
      <c r="A16" t="s">
        <v>5</v>
      </c>
      <c r="B16" t="s">
        <v>11</v>
      </c>
      <c r="C16" s="2">
        <v>3006.639892578125</v>
      </c>
      <c r="D16" s="2">
        <v>825.09002685546875</v>
      </c>
      <c r="E16" s="2">
        <v>589.6400146484375</v>
      </c>
      <c r="F16" s="2">
        <f>SUM(C16:E16)</f>
        <v>4421.3699340820313</v>
      </c>
    </row>
    <row r="17" spans="1:6" x14ac:dyDescent="0.55000000000000004">
      <c r="A17" t="s">
        <v>8</v>
      </c>
      <c r="B17" t="s">
        <v>10</v>
      </c>
      <c r="C17" s="2">
        <v>3645.0400390625</v>
      </c>
      <c r="D17" s="2">
        <v>2199.3798828125</v>
      </c>
      <c r="E17" s="2">
        <v>5035.830078125</v>
      </c>
      <c r="F17" s="2">
        <f>SUM(C17:E17)</f>
        <v>10880.25</v>
      </c>
    </row>
    <row r="18" spans="1:6" x14ac:dyDescent="0.55000000000000004">
      <c r="A18" t="s">
        <v>3</v>
      </c>
      <c r="B18" t="s">
        <v>14</v>
      </c>
      <c r="C18" s="2">
        <v>2631.610107421875</v>
      </c>
      <c r="D18" s="2">
        <v>3081.179931640625</v>
      </c>
      <c r="E18" s="2">
        <v>3553.449951171875</v>
      </c>
      <c r="F18" s="2">
        <f>SUM(C18:E18)</f>
        <v>9266.239990234375</v>
      </c>
    </row>
    <row r="19" spans="1:6" x14ac:dyDescent="0.55000000000000004">
      <c r="A19" t="s">
        <v>7</v>
      </c>
      <c r="B19" t="s">
        <v>9</v>
      </c>
      <c r="C19" s="2">
        <v>4075.840087890625</v>
      </c>
      <c r="D19" s="2">
        <v>1703.489990234375</v>
      </c>
      <c r="E19" s="2">
        <v>4758.97021484375</v>
      </c>
      <c r="F19" s="2">
        <f>SUM(C19:E19)</f>
        <v>10538.30029296875</v>
      </c>
    </row>
    <row r="20" spans="1:6" x14ac:dyDescent="0.55000000000000004">
      <c r="A20" t="s">
        <v>8</v>
      </c>
      <c r="B20" t="s">
        <v>15</v>
      </c>
      <c r="C20" s="2">
        <v>1783.47998046875</v>
      </c>
      <c r="D20" s="2">
        <v>5198.93017578125</v>
      </c>
      <c r="E20" s="2">
        <v>1605.1099853515625</v>
      </c>
      <c r="F20" s="2">
        <f>SUM(C20:E20)</f>
        <v>8587.5201416015625</v>
      </c>
    </row>
    <row r="21" spans="1:6" x14ac:dyDescent="0.55000000000000004">
      <c r="A21" t="s">
        <v>3</v>
      </c>
      <c r="B21" t="s">
        <v>11</v>
      </c>
      <c r="C21" s="2">
        <v>3633.52001953125</v>
      </c>
      <c r="D21" s="2">
        <v>2327.93994140625</v>
      </c>
      <c r="E21" s="2">
        <v>618.1500244140625</v>
      </c>
      <c r="F21" s="2">
        <f>SUM(C21:E21)</f>
        <v>6579.6099853515625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595CE-7A9C-4CFB-AA32-2DBFA30989C4}">
  <sheetPr codeName="Sheet160"/>
  <dimension ref="A1:G20"/>
  <sheetViews>
    <sheetView workbookViewId="0">
      <selection activeCell="F20" sqref="F20"/>
    </sheetView>
  </sheetViews>
  <sheetFormatPr defaultRowHeight="14.4" x14ac:dyDescent="0.55000000000000004"/>
  <cols>
    <col min="3" max="5" width="9.7890625" bestFit="1" customWidth="1"/>
    <col min="6" max="6" width="10.7890625" bestFit="1" customWidth="1"/>
    <col min="7" max="7" width="0" hidden="1" customWidth="1"/>
  </cols>
  <sheetData>
    <row r="1" spans="1:7" ht="20.399999999999999" x14ac:dyDescent="0.75">
      <c r="A1" s="1" t="s">
        <v>0</v>
      </c>
      <c r="B1" s="1" t="s">
        <v>1</v>
      </c>
      <c r="C1" s="3" t="s">
        <v>57</v>
      </c>
      <c r="D1" s="3" t="s">
        <v>58</v>
      </c>
      <c r="E1" s="3" t="s">
        <v>59</v>
      </c>
      <c r="F1" s="3" t="s">
        <v>2</v>
      </c>
      <c r="G1" t="s">
        <v>28</v>
      </c>
    </row>
    <row r="2" spans="1:7" x14ac:dyDescent="0.55000000000000004">
      <c r="A2" t="s">
        <v>5</v>
      </c>
      <c r="B2" t="s">
        <v>19</v>
      </c>
      <c r="C2" s="2">
        <v>4902.580078125</v>
      </c>
      <c r="D2" s="2">
        <v>3222.300048828125</v>
      </c>
      <c r="E2" s="2">
        <v>3205.43994140625</v>
      </c>
      <c r="F2" s="2">
        <f>SUM(C2:E2)</f>
        <v>11330.320068359375</v>
      </c>
      <c r="G2" t="s">
        <v>69</v>
      </c>
    </row>
    <row r="3" spans="1:7" x14ac:dyDescent="0.55000000000000004">
      <c r="A3" t="s">
        <v>3</v>
      </c>
      <c r="B3" t="s">
        <v>15</v>
      </c>
      <c r="C3" s="2">
        <v>491.239990234375</v>
      </c>
      <c r="D3" s="2">
        <v>2312.929931640625</v>
      </c>
      <c r="E3" s="2">
        <v>551.17999267578125</v>
      </c>
      <c r="F3" s="2">
        <f>SUM(C3:E3)</f>
        <v>3355.3499145507813</v>
      </c>
      <c r="G3" t="s">
        <v>43</v>
      </c>
    </row>
    <row r="4" spans="1:7" x14ac:dyDescent="0.55000000000000004">
      <c r="A4" t="s">
        <v>5</v>
      </c>
      <c r="B4" t="s">
        <v>6</v>
      </c>
      <c r="C4" s="2">
        <v>3754.64990234375</v>
      </c>
      <c r="D4" s="2">
        <v>299.510009765625</v>
      </c>
      <c r="E4" s="2">
        <v>1698.56005859375</v>
      </c>
      <c r="F4" s="2">
        <f>SUM(C4:E4)</f>
        <v>5752.719970703125</v>
      </c>
      <c r="G4" t="s">
        <v>63</v>
      </c>
    </row>
    <row r="5" spans="1:7" x14ac:dyDescent="0.55000000000000004">
      <c r="A5" t="s">
        <v>8</v>
      </c>
      <c r="B5" t="s">
        <v>6</v>
      </c>
      <c r="C5" s="2">
        <v>2223.919921875</v>
      </c>
      <c r="D5" s="2">
        <v>2318.159912109375</v>
      </c>
      <c r="E5" s="2">
        <v>3050.739990234375</v>
      </c>
      <c r="F5" s="2">
        <f>SUM(C5:E5)</f>
        <v>7592.81982421875</v>
      </c>
      <c r="G5" t="s">
        <v>66</v>
      </c>
    </row>
    <row r="6" spans="1:7" x14ac:dyDescent="0.55000000000000004">
      <c r="A6" t="s">
        <v>5</v>
      </c>
      <c r="B6" t="s">
        <v>10</v>
      </c>
      <c r="C6" s="2">
        <v>1280.449951171875</v>
      </c>
      <c r="D6" s="2">
        <v>3958.06005859375</v>
      </c>
      <c r="E6" s="2">
        <v>2640.010009765625</v>
      </c>
      <c r="F6" s="2">
        <f>SUM(C6:E6)</f>
        <v>7878.52001953125</v>
      </c>
      <c r="G6" t="s">
        <v>42</v>
      </c>
    </row>
    <row r="7" spans="1:7" x14ac:dyDescent="0.55000000000000004">
      <c r="A7" t="s">
        <v>5</v>
      </c>
      <c r="B7" t="s">
        <v>6</v>
      </c>
      <c r="C7" s="2">
        <v>268.54000854492188</v>
      </c>
      <c r="D7" s="2">
        <v>970.530029296875</v>
      </c>
      <c r="E7" s="2">
        <v>1859.8599853515625</v>
      </c>
      <c r="F7" s="2">
        <f>SUM(C7:E7)</f>
        <v>3098.9300231933594</v>
      </c>
      <c r="G7" t="s">
        <v>63</v>
      </c>
    </row>
    <row r="8" spans="1:7" x14ac:dyDescent="0.55000000000000004">
      <c r="A8" t="s">
        <v>5</v>
      </c>
      <c r="B8" t="s">
        <v>15</v>
      </c>
      <c r="C8" s="2">
        <v>1119.239990234375</v>
      </c>
      <c r="D8" s="2">
        <v>3006.75</v>
      </c>
      <c r="E8" s="2">
        <v>423.75</v>
      </c>
      <c r="F8" s="2">
        <f>SUM(C8:E8)</f>
        <v>4549.739990234375</v>
      </c>
      <c r="G8" t="s">
        <v>71</v>
      </c>
    </row>
    <row r="9" spans="1:7" x14ac:dyDescent="0.55000000000000004">
      <c r="A9" t="s">
        <v>5</v>
      </c>
      <c r="B9" t="s">
        <v>13</v>
      </c>
      <c r="C9" s="2">
        <v>4542.919921875</v>
      </c>
      <c r="D9" s="2">
        <v>4961.97998046875</v>
      </c>
      <c r="E9" s="2">
        <v>2566.7900390625</v>
      </c>
      <c r="F9" s="2">
        <f>SUM(C9:E9)</f>
        <v>12071.68994140625</v>
      </c>
      <c r="G9" t="s">
        <v>52</v>
      </c>
    </row>
    <row r="10" spans="1:7" x14ac:dyDescent="0.55000000000000004">
      <c r="A10" t="s">
        <v>8</v>
      </c>
      <c r="B10" t="s">
        <v>13</v>
      </c>
      <c r="C10" s="2">
        <v>3598.820068359375</v>
      </c>
      <c r="D10" s="2">
        <v>251.25</v>
      </c>
      <c r="E10" s="2">
        <v>265.57998657226563</v>
      </c>
      <c r="F10" s="2">
        <f>SUM(C10:E10)</f>
        <v>4115.6500549316406</v>
      </c>
      <c r="G10" t="s">
        <v>64</v>
      </c>
    </row>
    <row r="11" spans="1:7" x14ac:dyDescent="0.55000000000000004">
      <c r="A11" t="s">
        <v>7</v>
      </c>
      <c r="B11" t="s">
        <v>11</v>
      </c>
      <c r="C11" s="2">
        <v>4962.7001953125</v>
      </c>
      <c r="D11" s="2">
        <v>3803.340087890625</v>
      </c>
      <c r="E11" s="2">
        <v>3865.580078125</v>
      </c>
      <c r="F11" s="2">
        <f>SUM(C11:E11)</f>
        <v>12631.620361328125</v>
      </c>
      <c r="G11" t="s">
        <v>53</v>
      </c>
    </row>
    <row r="12" spans="1:7" x14ac:dyDescent="0.55000000000000004">
      <c r="A12" t="s">
        <v>7</v>
      </c>
      <c r="B12" t="s">
        <v>19</v>
      </c>
      <c r="C12" s="2">
        <v>3628.580078125</v>
      </c>
      <c r="D12" s="2">
        <v>1314.9100341796875</v>
      </c>
      <c r="E12" s="2">
        <v>4240.740234375</v>
      </c>
      <c r="F12" s="2">
        <f>SUM(C12:E12)</f>
        <v>9184.2303466796875</v>
      </c>
      <c r="G12" t="s">
        <v>76</v>
      </c>
    </row>
    <row r="13" spans="1:7" x14ac:dyDescent="0.55000000000000004">
      <c r="A13" t="s">
        <v>7</v>
      </c>
      <c r="B13" t="s">
        <v>20</v>
      </c>
      <c r="C13" s="2">
        <v>926.27001953125</v>
      </c>
      <c r="D13" s="2">
        <v>3869.780029296875</v>
      </c>
      <c r="E13" s="2">
        <v>2919.800048828125</v>
      </c>
      <c r="F13" s="2">
        <f>SUM(C13:E13)</f>
        <v>7715.85009765625</v>
      </c>
      <c r="G13" t="s">
        <v>77</v>
      </c>
    </row>
    <row r="14" spans="1:7" x14ac:dyDescent="0.55000000000000004">
      <c r="A14" t="s">
        <v>5</v>
      </c>
      <c r="B14" t="s">
        <v>6</v>
      </c>
      <c r="C14" s="2">
        <v>3377.760009765625</v>
      </c>
      <c r="D14" s="2">
        <v>4104.10986328125</v>
      </c>
      <c r="E14" s="2">
        <v>387.89999389648438</v>
      </c>
      <c r="F14" s="2">
        <f>SUM(C14:E14)</f>
        <v>7869.7698669433594</v>
      </c>
      <c r="G14" t="s">
        <v>63</v>
      </c>
    </row>
    <row r="15" spans="1:7" x14ac:dyDescent="0.55000000000000004">
      <c r="A15" t="s">
        <v>5</v>
      </c>
      <c r="B15" t="s">
        <v>11</v>
      </c>
      <c r="C15" s="2">
        <v>3006.639892578125</v>
      </c>
      <c r="D15" s="2">
        <v>825.09002685546875</v>
      </c>
      <c r="E15" s="2">
        <v>589.6400146484375</v>
      </c>
      <c r="F15" s="2">
        <f>SUM(C15:E15)</f>
        <v>4421.3699340820313</v>
      </c>
      <c r="G15" t="s">
        <v>35</v>
      </c>
    </row>
    <row r="16" spans="1:7" x14ac:dyDescent="0.55000000000000004">
      <c r="A16" t="s">
        <v>8</v>
      </c>
      <c r="B16" t="s">
        <v>10</v>
      </c>
      <c r="C16" s="2">
        <v>3645.0400390625</v>
      </c>
      <c r="D16" s="2">
        <v>2199.3798828125</v>
      </c>
      <c r="E16" s="2">
        <v>5035.830078125</v>
      </c>
      <c r="F16" s="2">
        <f>SUM(C16:E16)</f>
        <v>10880.25</v>
      </c>
      <c r="G16" t="s">
        <v>73</v>
      </c>
    </row>
    <row r="17" spans="1:7" x14ac:dyDescent="0.55000000000000004">
      <c r="A17" t="s">
        <v>3</v>
      </c>
      <c r="B17" t="s">
        <v>14</v>
      </c>
      <c r="C17" s="2">
        <v>2631.610107421875</v>
      </c>
      <c r="D17" s="2">
        <v>3081.179931640625</v>
      </c>
      <c r="E17" s="2">
        <v>3553.449951171875</v>
      </c>
      <c r="F17" s="2">
        <f>SUM(C17:E17)</f>
        <v>9266.239990234375</v>
      </c>
      <c r="G17" t="s">
        <v>75</v>
      </c>
    </row>
    <row r="18" spans="1:7" x14ac:dyDescent="0.55000000000000004">
      <c r="A18" t="s">
        <v>7</v>
      </c>
      <c r="B18" t="s">
        <v>9</v>
      </c>
      <c r="C18" s="2">
        <v>4075.840087890625</v>
      </c>
      <c r="D18" s="2">
        <v>1703.489990234375</v>
      </c>
      <c r="E18" s="2">
        <v>4758.97021484375</v>
      </c>
      <c r="F18" s="2">
        <f>SUM(C18:E18)</f>
        <v>10538.30029296875</v>
      </c>
      <c r="G18" t="s">
        <v>32</v>
      </c>
    </row>
    <row r="19" spans="1:7" x14ac:dyDescent="0.55000000000000004">
      <c r="A19" t="s">
        <v>8</v>
      </c>
      <c r="B19" t="s">
        <v>15</v>
      </c>
      <c r="C19" s="2">
        <v>1783.47998046875</v>
      </c>
      <c r="D19" s="2">
        <v>5198.93017578125</v>
      </c>
      <c r="E19" s="2">
        <v>1605.1099853515625</v>
      </c>
      <c r="F19" s="2">
        <f>SUM(C19:E19)</f>
        <v>8587.5201416015625</v>
      </c>
      <c r="G19" t="s">
        <v>41</v>
      </c>
    </row>
    <row r="20" spans="1:7" x14ac:dyDescent="0.55000000000000004">
      <c r="A20" t="s">
        <v>3</v>
      </c>
      <c r="B20" t="s">
        <v>11</v>
      </c>
      <c r="C20" s="2">
        <v>3633.52001953125</v>
      </c>
      <c r="D20" s="2">
        <v>2327.93994140625</v>
      </c>
      <c r="E20" s="2">
        <v>618.1500244140625</v>
      </c>
      <c r="F20" s="2">
        <f>SUM(C20:E20)</f>
        <v>6579.6099853515625</v>
      </c>
      <c r="G20" t="s">
        <v>48</v>
      </c>
    </row>
  </sheetData>
  <sheetProtection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E5682-8415-418D-9523-BF5C2D1B86F5}">
  <sheetPr codeName="Sheet161"/>
  <dimension ref="A3:C25"/>
  <sheetViews>
    <sheetView workbookViewId="0"/>
  </sheetViews>
  <sheetFormatPr defaultRowHeight="14.4" x14ac:dyDescent="0.55000000000000004"/>
  <cols>
    <col min="1" max="1" width="19.26171875" bestFit="1" customWidth="1"/>
    <col min="2" max="2" width="13.89453125" bestFit="1" customWidth="1"/>
    <col min="3" max="3" width="12" bestFit="1" customWidth="1"/>
  </cols>
  <sheetData>
    <row r="3" spans="1:3" x14ac:dyDescent="0.55000000000000004">
      <c r="A3" s="4" t="s">
        <v>0</v>
      </c>
      <c r="B3" s="4" t="s">
        <v>1</v>
      </c>
      <c r="C3" t="s">
        <v>80</v>
      </c>
    </row>
    <row r="4" spans="1:3" x14ac:dyDescent="0.55000000000000004">
      <c r="A4" t="s">
        <v>7</v>
      </c>
      <c r="B4" t="s">
        <v>20</v>
      </c>
      <c r="C4" s="5">
        <v>7715.85009765625</v>
      </c>
    </row>
    <row r="5" spans="1:3" x14ac:dyDescent="0.55000000000000004">
      <c r="B5" t="s">
        <v>11</v>
      </c>
      <c r="C5" s="5">
        <v>12631.620361328125</v>
      </c>
    </row>
    <row r="6" spans="1:3" x14ac:dyDescent="0.55000000000000004">
      <c r="B6" t="s">
        <v>9</v>
      </c>
      <c r="C6" s="5">
        <v>10538.30029296875</v>
      </c>
    </row>
    <row r="7" spans="1:3" x14ac:dyDescent="0.55000000000000004">
      <c r="B7" t="s">
        <v>19</v>
      </c>
      <c r="C7" s="5">
        <v>9184.2303466796875</v>
      </c>
    </row>
    <row r="8" spans="1:3" x14ac:dyDescent="0.55000000000000004">
      <c r="A8" t="s">
        <v>81</v>
      </c>
      <c r="C8" s="5">
        <v>40070.001098632813</v>
      </c>
    </row>
    <row r="9" spans="1:3" x14ac:dyDescent="0.55000000000000004">
      <c r="A9" t="s">
        <v>8</v>
      </c>
      <c r="B9" t="s">
        <v>10</v>
      </c>
      <c r="C9" s="5">
        <v>10880.25</v>
      </c>
    </row>
    <row r="10" spans="1:3" x14ac:dyDescent="0.55000000000000004">
      <c r="B10" t="s">
        <v>6</v>
      </c>
      <c r="C10" s="5">
        <v>7592.81982421875</v>
      </c>
    </row>
    <row r="11" spans="1:3" x14ac:dyDescent="0.55000000000000004">
      <c r="B11" t="s">
        <v>15</v>
      </c>
      <c r="C11" s="5">
        <v>8587.5201416015625</v>
      </c>
    </row>
    <row r="12" spans="1:3" x14ac:dyDescent="0.55000000000000004">
      <c r="B12" t="s">
        <v>13</v>
      </c>
      <c r="C12" s="5">
        <v>4115.6500549316406</v>
      </c>
    </row>
    <row r="13" spans="1:3" x14ac:dyDescent="0.55000000000000004">
      <c r="A13" t="s">
        <v>82</v>
      </c>
      <c r="C13" s="5">
        <v>31176.240020751953</v>
      </c>
    </row>
    <row r="14" spans="1:3" x14ac:dyDescent="0.55000000000000004">
      <c r="A14" t="s">
        <v>3</v>
      </c>
      <c r="B14" t="s">
        <v>11</v>
      </c>
      <c r="C14" s="5">
        <v>6579.6099853515625</v>
      </c>
    </row>
    <row r="15" spans="1:3" x14ac:dyDescent="0.55000000000000004">
      <c r="B15" t="s">
        <v>15</v>
      </c>
      <c r="C15" s="5">
        <v>3355.3499145507813</v>
      </c>
    </row>
    <row r="16" spans="1:3" x14ac:dyDescent="0.55000000000000004">
      <c r="B16" t="s">
        <v>14</v>
      </c>
      <c r="C16" s="5">
        <v>9266.239990234375</v>
      </c>
    </row>
    <row r="17" spans="1:3" x14ac:dyDescent="0.55000000000000004">
      <c r="A17" t="s">
        <v>83</v>
      </c>
      <c r="C17" s="5">
        <v>19201.199890136719</v>
      </c>
    </row>
    <row r="18" spans="1:3" x14ac:dyDescent="0.55000000000000004">
      <c r="A18" t="s">
        <v>5</v>
      </c>
      <c r="B18" t="s">
        <v>10</v>
      </c>
      <c r="C18" s="5">
        <v>7878.52001953125</v>
      </c>
    </row>
    <row r="19" spans="1:3" x14ac:dyDescent="0.55000000000000004">
      <c r="B19" t="s">
        <v>11</v>
      </c>
      <c r="C19" s="5">
        <v>4421.3699340820313</v>
      </c>
    </row>
    <row r="20" spans="1:3" x14ac:dyDescent="0.55000000000000004">
      <c r="B20" t="s">
        <v>19</v>
      </c>
      <c r="C20" s="5">
        <v>11330.320068359375</v>
      </c>
    </row>
    <row r="21" spans="1:3" x14ac:dyDescent="0.55000000000000004">
      <c r="B21" t="s">
        <v>6</v>
      </c>
      <c r="C21" s="5">
        <v>16721.419860839844</v>
      </c>
    </row>
    <row r="22" spans="1:3" x14ac:dyDescent="0.55000000000000004">
      <c r="B22" t="s">
        <v>15</v>
      </c>
      <c r="C22" s="5">
        <v>4549.739990234375</v>
      </c>
    </row>
    <row r="23" spans="1:3" x14ac:dyDescent="0.55000000000000004">
      <c r="B23" t="s">
        <v>13</v>
      </c>
      <c r="C23" s="5">
        <v>12071.68994140625</v>
      </c>
    </row>
    <row r="24" spans="1:3" x14ac:dyDescent="0.55000000000000004">
      <c r="A24" t="s">
        <v>84</v>
      </c>
      <c r="C24" s="5">
        <v>56973.059814453125</v>
      </c>
    </row>
    <row r="25" spans="1:3" x14ac:dyDescent="0.55000000000000004">
      <c r="A25" t="s">
        <v>79</v>
      </c>
      <c r="C25" s="5">
        <v>147420.50082397461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65809-01E2-4A28-AA1D-24B0F052782C}">
  <sheetPr codeName="Sheet162"/>
  <dimension ref="A1:F21"/>
  <sheetViews>
    <sheetView workbookViewId="0">
      <selection activeCell="A2" sqref="A2:F21"/>
    </sheetView>
  </sheetViews>
  <sheetFormatPr defaultRowHeight="14.4" x14ac:dyDescent="0.55000000000000004"/>
  <cols>
    <col min="3" max="5" width="9.7890625" bestFit="1" customWidth="1"/>
    <col min="6" max="6" width="10.7890625" bestFit="1" customWidth="1"/>
  </cols>
  <sheetData>
    <row r="1" spans="1:6" ht="20.399999999999999" x14ac:dyDescent="0.75">
      <c r="A1" s="1" t="s">
        <v>0</v>
      </c>
      <c r="B1" s="1" t="s">
        <v>1</v>
      </c>
      <c r="C1" s="1" t="s">
        <v>25</v>
      </c>
      <c r="D1" s="1" t="s">
        <v>26</v>
      </c>
      <c r="E1" s="1" t="s">
        <v>27</v>
      </c>
      <c r="F1" s="1" t="s">
        <v>2</v>
      </c>
    </row>
    <row r="2" spans="1:6" x14ac:dyDescent="0.55000000000000004">
      <c r="A2" t="s">
        <v>5</v>
      </c>
      <c r="B2" t="s">
        <v>19</v>
      </c>
      <c r="C2" s="2">
        <v>1691.77001953125</v>
      </c>
      <c r="D2" s="2">
        <v>4388.22998046875</v>
      </c>
      <c r="E2" s="2">
        <v>419.6400146484375</v>
      </c>
      <c r="F2" s="2">
        <f>SUM(C2:E2)</f>
        <v>6499.6400146484375</v>
      </c>
    </row>
    <row r="3" spans="1:6" x14ac:dyDescent="0.55000000000000004">
      <c r="A3" t="s">
        <v>3</v>
      </c>
      <c r="B3" t="s">
        <v>17</v>
      </c>
      <c r="C3" s="2">
        <v>2413.10009765625</v>
      </c>
      <c r="D3" s="2">
        <v>467.35000610351563</v>
      </c>
      <c r="E3" s="2">
        <v>3390.4599609375</v>
      </c>
      <c r="F3" s="2">
        <f>SUM(C3:E3)</f>
        <v>6270.9100646972656</v>
      </c>
    </row>
    <row r="4" spans="1:6" x14ac:dyDescent="0.55000000000000004">
      <c r="A4" t="s">
        <v>3</v>
      </c>
      <c r="B4" t="s">
        <v>15</v>
      </c>
      <c r="C4" s="2">
        <v>2462.419921875</v>
      </c>
      <c r="D4" s="2">
        <v>1932.8499755859375</v>
      </c>
      <c r="E4" s="2">
        <v>1341.06005859375</v>
      </c>
      <c r="F4" s="2">
        <f>SUM(C4:E4)</f>
        <v>5736.3299560546875</v>
      </c>
    </row>
    <row r="5" spans="1:6" x14ac:dyDescent="0.55000000000000004">
      <c r="A5" t="s">
        <v>5</v>
      </c>
      <c r="B5" t="s">
        <v>12</v>
      </c>
      <c r="C5" s="2">
        <v>3305.389892578125</v>
      </c>
      <c r="D5" s="2">
        <v>3269.590087890625</v>
      </c>
      <c r="E5" s="2">
        <v>4171.3701171875</v>
      </c>
      <c r="F5" s="2">
        <f>SUM(C5:E5)</f>
        <v>10746.35009765625</v>
      </c>
    </row>
    <row r="6" spans="1:6" x14ac:dyDescent="0.55000000000000004">
      <c r="A6" t="s">
        <v>5</v>
      </c>
      <c r="B6" t="s">
        <v>20</v>
      </c>
      <c r="C6" s="2">
        <v>930.40997314453125</v>
      </c>
      <c r="D6" s="2">
        <v>3226.280029296875</v>
      </c>
      <c r="E6" s="2">
        <v>493.6199951171875</v>
      </c>
      <c r="F6" s="2">
        <f>SUM(C6:E6)</f>
        <v>4650.3099975585938</v>
      </c>
    </row>
    <row r="7" spans="1:6" x14ac:dyDescent="0.55000000000000004">
      <c r="A7" t="s">
        <v>7</v>
      </c>
      <c r="B7" t="s">
        <v>20</v>
      </c>
      <c r="C7" s="2">
        <v>4276.52001953125</v>
      </c>
      <c r="D7" s="2">
        <v>3515.97998046875</v>
      </c>
      <c r="E7" s="2">
        <v>4577.81982421875</v>
      </c>
      <c r="F7" s="2">
        <f>SUM(C7:E7)</f>
        <v>12370.31982421875</v>
      </c>
    </row>
    <row r="8" spans="1:6" x14ac:dyDescent="0.55000000000000004">
      <c r="A8" t="s">
        <v>7</v>
      </c>
      <c r="B8" t="s">
        <v>10</v>
      </c>
      <c r="C8" s="2">
        <v>910.30999755859375</v>
      </c>
      <c r="D8" s="2">
        <v>3582.570068359375</v>
      </c>
      <c r="E8" s="2">
        <v>1661.6800537109375</v>
      </c>
      <c r="F8" s="2">
        <f>SUM(C8:E8)</f>
        <v>6154.5601196289063</v>
      </c>
    </row>
    <row r="9" spans="1:6" x14ac:dyDescent="0.55000000000000004">
      <c r="A9" t="s">
        <v>7</v>
      </c>
      <c r="B9" t="s">
        <v>20</v>
      </c>
      <c r="C9" s="2">
        <v>296.92999267578125</v>
      </c>
      <c r="D9" s="2">
        <v>4146.7900390625</v>
      </c>
      <c r="E9" s="2">
        <v>2234.35009765625</v>
      </c>
      <c r="F9" s="2">
        <f>SUM(C9:E9)</f>
        <v>6678.0701293945313</v>
      </c>
    </row>
    <row r="10" spans="1:6" x14ac:dyDescent="0.55000000000000004">
      <c r="A10" t="s">
        <v>5</v>
      </c>
      <c r="B10" t="s">
        <v>12</v>
      </c>
      <c r="C10" s="2">
        <v>4468.990234375</v>
      </c>
      <c r="D10" s="2">
        <v>3871.52001953125</v>
      </c>
      <c r="E10" s="2">
        <v>1024.93994140625</v>
      </c>
      <c r="F10" s="2">
        <f>SUM(C10:E10)</f>
        <v>9365.4501953125</v>
      </c>
    </row>
    <row r="11" spans="1:6" x14ac:dyDescent="0.55000000000000004">
      <c r="A11" t="s">
        <v>8</v>
      </c>
      <c r="B11" t="s">
        <v>18</v>
      </c>
      <c r="C11" s="2">
        <v>2600.77001953125</v>
      </c>
      <c r="D11" s="2">
        <v>3373.56005859375</v>
      </c>
      <c r="E11" s="2">
        <v>1764.1099853515625</v>
      </c>
      <c r="F11" s="2">
        <f>SUM(C11:E11)</f>
        <v>7738.4400634765625</v>
      </c>
    </row>
    <row r="12" spans="1:6" x14ac:dyDescent="0.55000000000000004">
      <c r="A12" t="s">
        <v>7</v>
      </c>
      <c r="B12" t="s">
        <v>19</v>
      </c>
      <c r="C12" s="2">
        <v>1898.6700439453125</v>
      </c>
      <c r="D12" s="2">
        <v>3099.2099609375</v>
      </c>
      <c r="E12" s="2">
        <v>1916.699951171875</v>
      </c>
      <c r="F12" s="2">
        <f>SUM(C12:E12)</f>
        <v>6914.5799560546875</v>
      </c>
    </row>
    <row r="13" spans="1:6" x14ac:dyDescent="0.55000000000000004">
      <c r="A13" t="s">
        <v>7</v>
      </c>
      <c r="B13" t="s">
        <v>13</v>
      </c>
      <c r="C13" s="2">
        <v>2711.840087890625</v>
      </c>
      <c r="D13" s="2">
        <v>5101.52001953125</v>
      </c>
      <c r="E13" s="2">
        <v>1021.760009765625</v>
      </c>
      <c r="F13" s="2">
        <f>SUM(C13:E13)</f>
        <v>8835.1201171875</v>
      </c>
    </row>
    <row r="14" spans="1:6" x14ac:dyDescent="0.55000000000000004">
      <c r="A14" t="s">
        <v>5</v>
      </c>
      <c r="B14" t="s">
        <v>19</v>
      </c>
      <c r="C14" s="2">
        <v>928.41998291015625</v>
      </c>
      <c r="D14" s="2">
        <v>3273.72998046875</v>
      </c>
      <c r="E14" s="2">
        <v>2726.77001953125</v>
      </c>
      <c r="F14" s="2">
        <f>SUM(C14:E14)</f>
        <v>6928.9199829101563</v>
      </c>
    </row>
    <row r="15" spans="1:6" x14ac:dyDescent="0.55000000000000004">
      <c r="A15" t="s">
        <v>3</v>
      </c>
      <c r="B15" t="s">
        <v>16</v>
      </c>
      <c r="C15" s="2">
        <v>1567.050048828125</v>
      </c>
      <c r="D15" s="2">
        <v>4058.949951171875</v>
      </c>
      <c r="E15" s="2">
        <v>3205.260009765625</v>
      </c>
      <c r="F15" s="2">
        <f>SUM(C15:E15)</f>
        <v>8831.260009765625</v>
      </c>
    </row>
    <row r="16" spans="1:6" x14ac:dyDescent="0.55000000000000004">
      <c r="A16" t="s">
        <v>5</v>
      </c>
      <c r="B16" t="s">
        <v>10</v>
      </c>
      <c r="C16" s="2">
        <v>2205.1201171875</v>
      </c>
      <c r="D16" s="2">
        <v>462.32000732421875</v>
      </c>
      <c r="E16" s="2">
        <v>1229.969970703125</v>
      </c>
      <c r="F16" s="2">
        <f>SUM(C16:E16)</f>
        <v>3897.4100952148438</v>
      </c>
    </row>
    <row r="17" spans="1:6" x14ac:dyDescent="0.55000000000000004">
      <c r="A17" t="s">
        <v>3</v>
      </c>
      <c r="B17" t="s">
        <v>9</v>
      </c>
      <c r="C17" s="2">
        <v>5143.93017578125</v>
      </c>
      <c r="D17" s="2">
        <v>1414.8599853515625</v>
      </c>
      <c r="E17" s="2">
        <v>2502.89990234375</v>
      </c>
      <c r="F17" s="2">
        <f>SUM(C17:E17)</f>
        <v>9061.6900634765625</v>
      </c>
    </row>
    <row r="18" spans="1:6" x14ac:dyDescent="0.55000000000000004">
      <c r="A18" t="s">
        <v>8</v>
      </c>
      <c r="B18" t="s">
        <v>10</v>
      </c>
      <c r="C18" s="2">
        <v>4325.14013671875</v>
      </c>
      <c r="D18" s="2">
        <v>2196.139892578125</v>
      </c>
      <c r="E18" s="2">
        <v>4871.89013671875</v>
      </c>
      <c r="F18" s="2">
        <f>SUM(C18:E18)</f>
        <v>11393.170166015625</v>
      </c>
    </row>
    <row r="19" spans="1:6" x14ac:dyDescent="0.55000000000000004">
      <c r="A19" t="s">
        <v>5</v>
      </c>
      <c r="B19" t="s">
        <v>12</v>
      </c>
      <c r="C19" s="2">
        <v>4248.18017578125</v>
      </c>
      <c r="D19" s="2">
        <v>2916.199951171875</v>
      </c>
      <c r="E19" s="2">
        <v>2181.60009765625</v>
      </c>
      <c r="F19" s="2">
        <f>SUM(C19:E19)</f>
        <v>9345.980224609375</v>
      </c>
    </row>
    <row r="20" spans="1:6" x14ac:dyDescent="0.55000000000000004">
      <c r="A20" t="s">
        <v>3</v>
      </c>
      <c r="B20" t="s">
        <v>16</v>
      </c>
      <c r="C20" s="2">
        <v>2948.14990234375</v>
      </c>
      <c r="D20" s="2">
        <v>2628.97998046875</v>
      </c>
      <c r="E20" s="2">
        <v>2792.7099609375</v>
      </c>
      <c r="F20" s="2">
        <f>SUM(C20:E20)</f>
        <v>8369.83984375</v>
      </c>
    </row>
    <row r="21" spans="1:6" x14ac:dyDescent="0.55000000000000004">
      <c r="A21" t="s">
        <v>5</v>
      </c>
      <c r="B21" t="s">
        <v>16</v>
      </c>
      <c r="C21" s="2">
        <v>2367.68994140625</v>
      </c>
      <c r="D21" s="2">
        <v>2825.8701171875</v>
      </c>
      <c r="E21" s="2">
        <v>273.04000854492188</v>
      </c>
      <c r="F21" s="2">
        <f>SUM(C21:E21)</f>
        <v>5466.6000671386719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86741-9FFA-4DB2-81EA-716FA413A93A}">
  <sheetPr codeName="Sheet163"/>
  <dimension ref="A1:G20"/>
  <sheetViews>
    <sheetView workbookViewId="0">
      <selection activeCell="F20" sqref="F20"/>
    </sheetView>
  </sheetViews>
  <sheetFormatPr defaultRowHeight="14.4" x14ac:dyDescent="0.55000000000000004"/>
  <cols>
    <col min="3" max="5" width="9.7890625" bestFit="1" customWidth="1"/>
    <col min="6" max="6" width="10.7890625" bestFit="1" customWidth="1"/>
    <col min="7" max="7" width="0" hidden="1" customWidth="1"/>
  </cols>
  <sheetData>
    <row r="1" spans="1:7" ht="20.399999999999999" x14ac:dyDescent="0.75">
      <c r="A1" s="1" t="s">
        <v>0</v>
      </c>
      <c r="B1" s="1" t="s">
        <v>1</v>
      </c>
      <c r="C1" s="3" t="s">
        <v>25</v>
      </c>
      <c r="D1" s="3" t="s">
        <v>26</v>
      </c>
      <c r="E1" s="3" t="s">
        <v>27</v>
      </c>
      <c r="F1" s="3" t="s">
        <v>2</v>
      </c>
      <c r="G1" t="s">
        <v>28</v>
      </c>
    </row>
    <row r="2" spans="1:7" x14ac:dyDescent="0.55000000000000004">
      <c r="A2" t="s">
        <v>3</v>
      </c>
      <c r="B2" t="s">
        <v>17</v>
      </c>
      <c r="C2" s="2">
        <v>2413.10009765625</v>
      </c>
      <c r="D2" s="2">
        <v>467.35000610351563</v>
      </c>
      <c r="E2" s="2">
        <v>3390.4599609375</v>
      </c>
      <c r="F2" s="2">
        <f>SUM(C2:E2)</f>
        <v>6270.9100646972656</v>
      </c>
      <c r="G2" t="s">
        <v>37</v>
      </c>
    </row>
    <row r="3" spans="1:7" x14ac:dyDescent="0.55000000000000004">
      <c r="A3" t="s">
        <v>3</v>
      </c>
      <c r="B3" t="s">
        <v>15</v>
      </c>
      <c r="C3" s="2">
        <v>2462.419921875</v>
      </c>
      <c r="D3" s="2">
        <v>1932.8499755859375</v>
      </c>
      <c r="E3" s="2">
        <v>1341.06005859375</v>
      </c>
      <c r="F3" s="2">
        <f>SUM(C3:E3)</f>
        <v>5736.3299560546875</v>
      </c>
      <c r="G3" t="s">
        <v>43</v>
      </c>
    </row>
    <row r="4" spans="1:7" x14ac:dyDescent="0.55000000000000004">
      <c r="A4" t="s">
        <v>5</v>
      </c>
      <c r="B4" t="s">
        <v>12</v>
      </c>
      <c r="C4" s="2">
        <v>3305.389892578125</v>
      </c>
      <c r="D4" s="2">
        <v>3269.590087890625</v>
      </c>
      <c r="E4" s="2">
        <v>4171.3701171875</v>
      </c>
      <c r="F4" s="2">
        <f>SUM(C4:E4)</f>
        <v>10746.35009765625</v>
      </c>
      <c r="G4" t="s">
        <v>62</v>
      </c>
    </row>
    <row r="5" spans="1:7" x14ac:dyDescent="0.55000000000000004">
      <c r="A5" t="s">
        <v>5</v>
      </c>
      <c r="B5" t="s">
        <v>20</v>
      </c>
      <c r="C5" s="2">
        <v>930.40997314453125</v>
      </c>
      <c r="D5" s="2">
        <v>3226.280029296875</v>
      </c>
      <c r="E5" s="2">
        <v>493.6199951171875</v>
      </c>
      <c r="F5" s="2">
        <f>SUM(C5:E5)</f>
        <v>4650.3099975585938</v>
      </c>
      <c r="G5" t="s">
        <v>34</v>
      </c>
    </row>
    <row r="6" spans="1:7" x14ac:dyDescent="0.55000000000000004">
      <c r="A6" t="s">
        <v>7</v>
      </c>
      <c r="B6" t="s">
        <v>20</v>
      </c>
      <c r="C6" s="2">
        <v>4276.52001953125</v>
      </c>
      <c r="D6" s="2">
        <v>3515.97998046875</v>
      </c>
      <c r="E6" s="2">
        <v>4577.81982421875</v>
      </c>
      <c r="F6" s="2">
        <f>SUM(C6:E6)</f>
        <v>12370.31982421875</v>
      </c>
      <c r="G6" t="s">
        <v>77</v>
      </c>
    </row>
    <row r="7" spans="1:7" x14ac:dyDescent="0.55000000000000004">
      <c r="A7" t="s">
        <v>7</v>
      </c>
      <c r="B7" t="s">
        <v>10</v>
      </c>
      <c r="C7" s="2">
        <v>910.30999755859375</v>
      </c>
      <c r="D7" s="2">
        <v>3582.570068359375</v>
      </c>
      <c r="E7" s="2">
        <v>1661.6800537109375</v>
      </c>
      <c r="F7" s="2">
        <f>SUM(C7:E7)</f>
        <v>6154.5601196289063</v>
      </c>
      <c r="G7" t="s">
        <v>30</v>
      </c>
    </row>
    <row r="8" spans="1:7" x14ac:dyDescent="0.55000000000000004">
      <c r="A8" t="s">
        <v>7</v>
      </c>
      <c r="B8" t="s">
        <v>20</v>
      </c>
      <c r="C8" s="2">
        <v>296.92999267578125</v>
      </c>
      <c r="D8" s="2">
        <v>4146.7900390625</v>
      </c>
      <c r="E8" s="2">
        <v>2234.35009765625</v>
      </c>
      <c r="F8" s="2">
        <f>SUM(C8:E8)</f>
        <v>6678.0701293945313</v>
      </c>
      <c r="G8" t="s">
        <v>77</v>
      </c>
    </row>
    <row r="9" spans="1:7" x14ac:dyDescent="0.55000000000000004">
      <c r="A9" t="s">
        <v>5</v>
      </c>
      <c r="B9" t="s">
        <v>12</v>
      </c>
      <c r="C9" s="2">
        <v>4468.990234375</v>
      </c>
      <c r="D9" s="2">
        <v>3871.52001953125</v>
      </c>
      <c r="E9" s="2">
        <v>1024.93994140625</v>
      </c>
      <c r="F9" s="2">
        <f>SUM(C9:E9)</f>
        <v>9365.4501953125</v>
      </c>
      <c r="G9" t="s">
        <v>62</v>
      </c>
    </row>
    <row r="10" spans="1:7" x14ac:dyDescent="0.55000000000000004">
      <c r="A10" t="s">
        <v>8</v>
      </c>
      <c r="B10" t="s">
        <v>18</v>
      </c>
      <c r="C10" s="2">
        <v>2600.77001953125</v>
      </c>
      <c r="D10" s="2">
        <v>3373.56005859375</v>
      </c>
      <c r="E10" s="2">
        <v>1764.1099853515625</v>
      </c>
      <c r="F10" s="2">
        <f>SUM(C10:E10)</f>
        <v>7738.4400634765625</v>
      </c>
      <c r="G10" t="s">
        <v>70</v>
      </c>
    </row>
    <row r="11" spans="1:7" x14ac:dyDescent="0.55000000000000004">
      <c r="A11" t="s">
        <v>7</v>
      </c>
      <c r="B11" t="s">
        <v>19</v>
      </c>
      <c r="C11" s="2">
        <v>1898.6700439453125</v>
      </c>
      <c r="D11" s="2">
        <v>3099.2099609375</v>
      </c>
      <c r="E11" s="2">
        <v>1916.699951171875</v>
      </c>
      <c r="F11" s="2">
        <f>SUM(C11:E11)</f>
        <v>6914.5799560546875</v>
      </c>
      <c r="G11" t="s">
        <v>76</v>
      </c>
    </row>
    <row r="12" spans="1:7" x14ac:dyDescent="0.55000000000000004">
      <c r="A12" t="s">
        <v>7</v>
      </c>
      <c r="B12" t="s">
        <v>13</v>
      </c>
      <c r="C12" s="2">
        <v>2711.840087890625</v>
      </c>
      <c r="D12" s="2">
        <v>5101.52001953125</v>
      </c>
      <c r="E12" s="2">
        <v>1021.760009765625</v>
      </c>
      <c r="F12" s="2">
        <f>SUM(C12:E12)</f>
        <v>8835.1201171875</v>
      </c>
      <c r="G12" t="s">
        <v>29</v>
      </c>
    </row>
    <row r="13" spans="1:7" x14ac:dyDescent="0.55000000000000004">
      <c r="A13" t="s">
        <v>5</v>
      </c>
      <c r="B13" t="s">
        <v>19</v>
      </c>
      <c r="C13" s="2">
        <v>928.41998291015625</v>
      </c>
      <c r="D13" s="2">
        <v>3273.72998046875</v>
      </c>
      <c r="E13" s="2">
        <v>2726.77001953125</v>
      </c>
      <c r="F13" s="2">
        <f>SUM(C13:E13)</f>
        <v>6928.9199829101563</v>
      </c>
      <c r="G13" t="s">
        <v>69</v>
      </c>
    </row>
    <row r="14" spans="1:7" x14ac:dyDescent="0.55000000000000004">
      <c r="A14" t="s">
        <v>3</v>
      </c>
      <c r="B14" t="s">
        <v>16</v>
      </c>
      <c r="C14" s="2">
        <v>1567.050048828125</v>
      </c>
      <c r="D14" s="2">
        <v>4058.949951171875</v>
      </c>
      <c r="E14" s="2">
        <v>3205.260009765625</v>
      </c>
      <c r="F14" s="2">
        <f>SUM(C14:E14)</f>
        <v>8831.260009765625</v>
      </c>
      <c r="G14" t="s">
        <v>68</v>
      </c>
    </row>
    <row r="15" spans="1:7" x14ac:dyDescent="0.55000000000000004">
      <c r="A15" t="s">
        <v>5</v>
      </c>
      <c r="B15" t="s">
        <v>10</v>
      </c>
      <c r="C15" s="2">
        <v>2205.1201171875</v>
      </c>
      <c r="D15" s="2">
        <v>462.32000732421875</v>
      </c>
      <c r="E15" s="2">
        <v>1229.969970703125</v>
      </c>
      <c r="F15" s="2">
        <f>SUM(C15:E15)</f>
        <v>3897.4100952148438</v>
      </c>
      <c r="G15" t="s">
        <v>42</v>
      </c>
    </row>
    <row r="16" spans="1:7" x14ac:dyDescent="0.55000000000000004">
      <c r="A16" t="s">
        <v>3</v>
      </c>
      <c r="B16" t="s">
        <v>9</v>
      </c>
      <c r="C16" s="2">
        <v>5143.93017578125</v>
      </c>
      <c r="D16" s="2">
        <v>1414.8599853515625</v>
      </c>
      <c r="E16" s="2">
        <v>2502.89990234375</v>
      </c>
      <c r="F16" s="2">
        <f>SUM(C16:E16)</f>
        <v>9061.6900634765625</v>
      </c>
      <c r="G16" t="s">
        <v>46</v>
      </c>
    </row>
    <row r="17" spans="1:7" x14ac:dyDescent="0.55000000000000004">
      <c r="A17" t="s">
        <v>8</v>
      </c>
      <c r="B17" t="s">
        <v>10</v>
      </c>
      <c r="C17" s="2">
        <v>4325.14013671875</v>
      </c>
      <c r="D17" s="2">
        <v>2196.139892578125</v>
      </c>
      <c r="E17" s="2">
        <v>4871.89013671875</v>
      </c>
      <c r="F17" s="2">
        <f>SUM(C17:E17)</f>
        <v>11393.170166015625</v>
      </c>
      <c r="G17" t="s">
        <v>73</v>
      </c>
    </row>
    <row r="18" spans="1:7" x14ac:dyDescent="0.55000000000000004">
      <c r="A18" t="s">
        <v>5</v>
      </c>
      <c r="B18" t="s">
        <v>12</v>
      </c>
      <c r="C18" s="2">
        <v>4248.18017578125</v>
      </c>
      <c r="D18" s="2">
        <v>2916.199951171875</v>
      </c>
      <c r="E18" s="2">
        <v>2181.60009765625</v>
      </c>
      <c r="F18" s="2">
        <f>SUM(C18:E18)</f>
        <v>9345.980224609375</v>
      </c>
      <c r="G18" t="s">
        <v>62</v>
      </c>
    </row>
    <row r="19" spans="1:7" x14ac:dyDescent="0.55000000000000004">
      <c r="A19" t="s">
        <v>3</v>
      </c>
      <c r="B19" t="s">
        <v>16</v>
      </c>
      <c r="C19" s="2">
        <v>2948.14990234375</v>
      </c>
      <c r="D19" s="2">
        <v>2628.97998046875</v>
      </c>
      <c r="E19" s="2">
        <v>2792.7099609375</v>
      </c>
      <c r="F19" s="2">
        <f>SUM(C19:E19)</f>
        <v>8369.83984375</v>
      </c>
      <c r="G19" t="s">
        <v>68</v>
      </c>
    </row>
    <row r="20" spans="1:7" x14ac:dyDescent="0.55000000000000004">
      <c r="A20" t="s">
        <v>5</v>
      </c>
      <c r="B20" t="s">
        <v>16</v>
      </c>
      <c r="C20" s="2">
        <v>2367.68994140625</v>
      </c>
      <c r="D20" s="2">
        <v>2825.8701171875</v>
      </c>
      <c r="E20" s="2">
        <v>273.04000854492188</v>
      </c>
      <c r="F20" s="2">
        <f>SUM(C20:E20)</f>
        <v>5466.6000671386719</v>
      </c>
      <c r="G20" t="s">
        <v>36</v>
      </c>
    </row>
  </sheetData>
  <sheetProtection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FDADA-232B-499F-B6E7-956CD5B17906}">
  <sheetPr codeName="Sheet164"/>
  <dimension ref="A3:C23"/>
  <sheetViews>
    <sheetView tabSelected="1" workbookViewId="0"/>
  </sheetViews>
  <sheetFormatPr defaultRowHeight="14.4" x14ac:dyDescent="0.55000000000000004"/>
  <cols>
    <col min="1" max="1" width="19.26171875" bestFit="1" customWidth="1"/>
    <col min="2" max="2" width="13.89453125" bestFit="1" customWidth="1"/>
    <col min="3" max="3" width="12" bestFit="1" customWidth="1"/>
  </cols>
  <sheetData>
    <row r="3" spans="1:3" x14ac:dyDescent="0.55000000000000004">
      <c r="A3" s="4" t="s">
        <v>0</v>
      </c>
      <c r="B3" s="4" t="s">
        <v>1</v>
      </c>
      <c r="C3" t="s">
        <v>80</v>
      </c>
    </row>
    <row r="4" spans="1:3" x14ac:dyDescent="0.55000000000000004">
      <c r="A4" t="s">
        <v>7</v>
      </c>
      <c r="B4" t="s">
        <v>20</v>
      </c>
      <c r="C4" s="5">
        <v>19048.389953613281</v>
      </c>
    </row>
    <row r="5" spans="1:3" x14ac:dyDescent="0.55000000000000004">
      <c r="B5" t="s">
        <v>10</v>
      </c>
      <c r="C5" s="5">
        <v>6154.5601196289063</v>
      </c>
    </row>
    <row r="6" spans="1:3" x14ac:dyDescent="0.55000000000000004">
      <c r="B6" t="s">
        <v>19</v>
      </c>
      <c r="C6" s="5">
        <v>6914.5799560546875</v>
      </c>
    </row>
    <row r="7" spans="1:3" x14ac:dyDescent="0.55000000000000004">
      <c r="B7" t="s">
        <v>13</v>
      </c>
      <c r="C7" s="5">
        <v>8835.1201171875</v>
      </c>
    </row>
    <row r="8" spans="1:3" x14ac:dyDescent="0.55000000000000004">
      <c r="A8" t="s">
        <v>81</v>
      </c>
      <c r="C8" s="5">
        <v>40952.650146484375</v>
      </c>
    </row>
    <row r="9" spans="1:3" x14ac:dyDescent="0.55000000000000004">
      <c r="A9" t="s">
        <v>8</v>
      </c>
      <c r="B9" t="s">
        <v>10</v>
      </c>
      <c r="C9" s="5">
        <v>11393.170166015625</v>
      </c>
    </row>
    <row r="10" spans="1:3" x14ac:dyDescent="0.55000000000000004">
      <c r="B10" t="s">
        <v>18</v>
      </c>
      <c r="C10" s="5">
        <v>7738.4400634765625</v>
      </c>
    </row>
    <row r="11" spans="1:3" x14ac:dyDescent="0.55000000000000004">
      <c r="A11" t="s">
        <v>82</v>
      </c>
      <c r="C11" s="5">
        <v>19131.610229492188</v>
      </c>
    </row>
    <row r="12" spans="1:3" x14ac:dyDescent="0.55000000000000004">
      <c r="A12" t="s">
        <v>3</v>
      </c>
      <c r="B12" t="s">
        <v>9</v>
      </c>
      <c r="C12" s="5">
        <v>9061.6900634765625</v>
      </c>
    </row>
    <row r="13" spans="1:3" x14ac:dyDescent="0.55000000000000004">
      <c r="B13" t="s">
        <v>16</v>
      </c>
      <c r="C13" s="5">
        <v>17201.099853515625</v>
      </c>
    </row>
    <row r="14" spans="1:3" x14ac:dyDescent="0.55000000000000004">
      <c r="B14" t="s">
        <v>15</v>
      </c>
      <c r="C14" s="5">
        <v>5736.3299560546875</v>
      </c>
    </row>
    <row r="15" spans="1:3" x14ac:dyDescent="0.55000000000000004">
      <c r="B15" t="s">
        <v>17</v>
      </c>
      <c r="C15" s="5">
        <v>6270.9100646972656</v>
      </c>
    </row>
    <row r="16" spans="1:3" x14ac:dyDescent="0.55000000000000004">
      <c r="A16" t="s">
        <v>83</v>
      </c>
      <c r="C16" s="5">
        <v>38270.029937744141</v>
      </c>
    </row>
    <row r="17" spans="1:3" x14ac:dyDescent="0.55000000000000004">
      <c r="A17" t="s">
        <v>5</v>
      </c>
      <c r="B17" t="s">
        <v>20</v>
      </c>
      <c r="C17" s="5">
        <v>4650.3099975585938</v>
      </c>
    </row>
    <row r="18" spans="1:3" x14ac:dyDescent="0.55000000000000004">
      <c r="B18" t="s">
        <v>10</v>
      </c>
      <c r="C18" s="5">
        <v>3897.4100952148438</v>
      </c>
    </row>
    <row r="19" spans="1:3" x14ac:dyDescent="0.55000000000000004">
      <c r="B19" t="s">
        <v>12</v>
      </c>
      <c r="C19" s="5">
        <v>29457.780517578125</v>
      </c>
    </row>
    <row r="20" spans="1:3" x14ac:dyDescent="0.55000000000000004">
      <c r="B20" t="s">
        <v>16</v>
      </c>
      <c r="C20" s="5">
        <v>5466.6000671386719</v>
      </c>
    </row>
    <row r="21" spans="1:3" x14ac:dyDescent="0.55000000000000004">
      <c r="B21" t="s">
        <v>19</v>
      </c>
      <c r="C21" s="5">
        <v>6928.9199829101563</v>
      </c>
    </row>
    <row r="22" spans="1:3" x14ac:dyDescent="0.55000000000000004">
      <c r="A22" t="s">
        <v>84</v>
      </c>
      <c r="C22" s="5">
        <v>50401.020660400391</v>
      </c>
    </row>
    <row r="23" spans="1:3" x14ac:dyDescent="0.55000000000000004">
      <c r="A23" t="s">
        <v>79</v>
      </c>
      <c r="C23" s="5">
        <v>148755.31097412109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RawData Quarter 2 Expenses_1</vt:lpstr>
      <vt:lpstr>Quarter 2 Expenses</vt:lpstr>
      <vt:lpstr>Pivot Table for Quarter 2</vt:lpstr>
      <vt:lpstr>RawData Quarter 3 Expenses_1</vt:lpstr>
      <vt:lpstr>Quarter 3 Expenses</vt:lpstr>
      <vt:lpstr>Pivot Table for Quarter 3</vt:lpstr>
      <vt:lpstr>RawData Quarter 1 Expenses_1</vt:lpstr>
      <vt:lpstr>Quarter 1 Expenses</vt:lpstr>
      <vt:lpstr>Pivot Table for Quarter 1</vt:lpstr>
      <vt:lpstr>RawData Quarter 4 Expenses_1</vt:lpstr>
      <vt:lpstr>Quarter 4 Expenses</vt:lpstr>
      <vt:lpstr>Pivot Table for Quarter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Daria Vorsina</cp:lastModifiedBy>
  <dcterms:created xsi:type="dcterms:W3CDTF">2015-12-21T19:43:40Z</dcterms:created>
  <dcterms:modified xsi:type="dcterms:W3CDTF">2026-02-27T08:04:02Z</dcterms:modified>
</cp:coreProperties>
</file>