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sha\Downloads\prof\"/>
    </mc:Choice>
  </mc:AlternateContent>
  <xr:revisionPtr revIDLastSave="0" documentId="8_{DE39DAA5-30DE-447E-BA8F-E80926E2CF32}" xr6:coauthVersionLast="47" xr6:coauthVersionMax="47" xr10:uidLastSave="{00000000-0000-0000-0000-000000000000}"/>
  <bookViews>
    <workbookView xWindow="38220" yWindow="-15675" windowWidth="17280" windowHeight="12765" xr2:uid="{20F089C1-5976-4C49-9AA4-D4FDDA7BD75F}"/>
  </bookViews>
  <sheets>
    <sheet name="RawData Quarter 1 Expenses_1" sheetId="1" r:id="rId1"/>
    <sheet name="Quarter 1 Expenses" sheetId="2" r:id="rId2"/>
    <sheet name="Pivot Table for Quarter 1" sheetId="3" r:id="rId3"/>
  </sheets>
  <calcPr calcId="181029"/>
  <pivotCaches>
    <pivotCache cacheId="7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2" l="1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<sst xmlns="http://schemas.openxmlformats.org/spreadsheetml/2006/main" count="136" uniqueCount="41">
  <si>
    <t>Division</t>
  </si>
  <si>
    <t>Category</t>
  </si>
  <si>
    <t>Jan</t>
  </si>
  <si>
    <t>Feb</t>
  </si>
  <si>
    <t>Mar</t>
  </si>
  <si>
    <t>Total</t>
  </si>
  <si>
    <t>West</t>
  </si>
  <si>
    <t>Consultants</t>
  </si>
  <si>
    <t>North</t>
  </si>
  <si>
    <t>Overhead</t>
  </si>
  <si>
    <t>South</t>
  </si>
  <si>
    <t>Technical Support</t>
  </si>
  <si>
    <t>Clerical Support</t>
  </si>
  <si>
    <t>Rent</t>
  </si>
  <si>
    <t>East</t>
  </si>
  <si>
    <t>Miscellaneous</t>
  </si>
  <si>
    <t>Software</t>
  </si>
  <si>
    <t>Telemarketing</t>
  </si>
  <si>
    <t>Supplies</t>
  </si>
  <si>
    <t>Telephone</t>
  </si>
  <si>
    <t>Key</t>
  </si>
  <si>
    <t>North|Overhead</t>
  </si>
  <si>
    <t>South|Technical Support</t>
  </si>
  <si>
    <t>West|Clerical Support</t>
  </si>
  <si>
    <t>South|Rent</t>
  </si>
  <si>
    <t>East|Miscellaneous</t>
  </si>
  <si>
    <t>West|Software</t>
  </si>
  <si>
    <t>South|Consultants</t>
  </si>
  <si>
    <t>East|Clerical Support</t>
  </si>
  <si>
    <t>West|Telemarketing</t>
  </si>
  <si>
    <t>South|Telemarketing</t>
  </si>
  <si>
    <t>North|Supplies</t>
  </si>
  <si>
    <t>South|Clerical Support</t>
  </si>
  <si>
    <t>South|Miscellaneous</t>
  </si>
  <si>
    <t>East|Telephone</t>
  </si>
  <si>
    <t>Sum of Total</t>
  </si>
  <si>
    <t>East Total</t>
  </si>
  <si>
    <t>North Total</t>
  </si>
  <si>
    <t>South Total</t>
  </si>
  <si>
    <t>West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</si>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</sst>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44" fontId="0" fillId="0" borderId="0" xfId="1" applyFont="1"/>
    <xf numFmtId="44" fontId="2" fillId="2" borderId="0" xfId="1" applyFont="1" applyFill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nterprise-Expense-Standardization-Aggregation-Visualization-Tool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ia Vorsina" refreshedDate="46080.080400694445" createdVersion="8" refreshedVersion="8" minRefreshableVersion="3" recordCount="19" xr:uid="{C42C782C-718F-4988-9C89-777FB91A88F3}">
  <cacheSource type="worksheet">
    <worksheetSource ref="A1:F20" sheet="Quarter 1 Expenses" r:id="rId2"/>
  </cacheSource>
  <cacheFields count="6">
    <cacheField name="Division" numFmtId="0">
      <sharedItems count="4">
        <s v="North"/>
        <s v="South"/>
        <s v="West"/>
        <s v="East"/>
      </sharedItems>
    </cacheField>
    <cacheField name="Category" numFmtId="0">
      <sharedItems count="10">
        <s v="Overhead"/>
        <s v="Technical Support"/>
        <s v="Clerical Support"/>
        <s v="Rent"/>
        <s v="Miscellaneous"/>
        <s v="Software"/>
        <s v="Consultants"/>
        <s v="Telemarketing"/>
        <s v="Supplies"/>
        <s v="Telephone"/>
      </sharedItems>
    </cacheField>
    <cacheField name="Jan" numFmtId="44">
      <sharedItems containsSemiMixedTypes="0" containsString="0" containsNumber="1" minValue="243.44999694824219" maxValue="4876.68994140625"/>
    </cacheField>
    <cacheField name="Feb" numFmtId="44">
      <sharedItems containsSemiMixedTypes="0" containsString="0" containsNumber="1" minValue="602.33001708984375" maxValue="5127.3701171875"/>
    </cacheField>
    <cacheField name="Mar" numFmtId="44">
      <sharedItems containsSemiMixedTypes="0" containsString="0" containsNumber="1" minValue="442.010009765625" maxValue="5059.35986328125"/>
    </cacheField>
    <cacheField name="Total" numFmtId="44">
      <sharedItems containsSemiMixedTypes="0" containsString="0" containsNumber="1" minValue="3336.1899871826172" maxValue="14224.81982421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n v="4004.969970703125"/>
    <n v="1806.22998046875"/>
    <n v="2280.320068359375"/>
    <n v="8091.52001953125"/>
  </r>
  <r>
    <x v="1"/>
    <x v="1"/>
    <n v="4510.240234375"/>
    <n v="1215.4200439453125"/>
    <n v="3465.300048828125"/>
    <n v="9190.9603271484375"/>
  </r>
  <r>
    <x v="2"/>
    <x v="2"/>
    <n v="725.0999755859375"/>
    <n v="3736.2900390625"/>
    <n v="843.78997802734375"/>
    <n v="5305.1799926757813"/>
  </r>
  <r>
    <x v="1"/>
    <x v="3"/>
    <n v="4401.72998046875"/>
    <n v="1685.5999755859375"/>
    <n v="4745.7900390625"/>
    <n v="10833.119995117188"/>
  </r>
  <r>
    <x v="3"/>
    <x v="4"/>
    <n v="1927.8399658203125"/>
    <n v="602.33001708984375"/>
    <n v="4447.919921875"/>
    <n v="6978.0899047851563"/>
  </r>
  <r>
    <x v="1"/>
    <x v="3"/>
    <n v="456.39999389648438"/>
    <n v="1405.5"/>
    <n v="5059.35986328125"/>
    <n v="6921.2598571777344"/>
  </r>
  <r>
    <x v="2"/>
    <x v="5"/>
    <n v="4876.68994140625"/>
    <n v="1590.3599853515625"/>
    <n v="2605.06005859375"/>
    <n v="9072.1099853515625"/>
  </r>
  <r>
    <x v="1"/>
    <x v="6"/>
    <n v="3145.030029296875"/>
    <n v="1658.0999755859375"/>
    <n v="2471.10009765625"/>
    <n v="7274.2301025390625"/>
  </r>
  <r>
    <x v="3"/>
    <x v="2"/>
    <n v="1775.68994140625"/>
    <n v="5127.3701171875"/>
    <n v="4917.009765625"/>
    <n v="11820.06982421875"/>
  </r>
  <r>
    <x v="2"/>
    <x v="7"/>
    <n v="2711.6298828125"/>
    <n v="2219.14990234375"/>
    <n v="1130.3699951171875"/>
    <n v="6061.1497802734375"/>
  </r>
  <r>
    <x v="1"/>
    <x v="7"/>
    <n v="3990.5400390625"/>
    <n v="3717.830078125"/>
    <n v="4065.679931640625"/>
    <n v="11774.050048828125"/>
  </r>
  <r>
    <x v="0"/>
    <x v="8"/>
    <n v="923.989990234375"/>
    <n v="3605.64990234375"/>
    <n v="2025.199951171875"/>
    <n v="6554.83984375"/>
  </r>
  <r>
    <x v="2"/>
    <x v="5"/>
    <n v="4179.9501953125"/>
    <n v="5049.60986328125"/>
    <n v="4995.259765625"/>
    <n v="14224.81982421875"/>
  </r>
  <r>
    <x v="0"/>
    <x v="0"/>
    <n v="656.1199951171875"/>
    <n v="828.30999755859375"/>
    <n v="4225.009765625"/>
    <n v="5709.4397583007813"/>
  </r>
  <r>
    <x v="1"/>
    <x v="1"/>
    <n v="243.44999694824219"/>
    <n v="2650.72998046875"/>
    <n v="442.010009765625"/>
    <n v="3336.1899871826172"/>
  </r>
  <r>
    <x v="3"/>
    <x v="2"/>
    <n v="4084.1298828125"/>
    <n v="1304.1700439453125"/>
    <n v="3642.77001953125"/>
    <n v="9031.0699462890625"/>
  </r>
  <r>
    <x v="1"/>
    <x v="2"/>
    <n v="1241.739990234375"/>
    <n v="628.1400146484375"/>
    <n v="4217.89990234375"/>
    <n v="6087.7799072265625"/>
  </r>
  <r>
    <x v="1"/>
    <x v="4"/>
    <n v="1526.5"/>
    <n v="835.57000732421875"/>
    <n v="2598"/>
    <n v="4960.0700073242188"/>
  </r>
  <r>
    <x v="3"/>
    <x v="9"/>
    <n v="1696.050048828125"/>
    <n v="3269.75"/>
    <n v="4904.52001953125"/>
    <n v="9870.3200683593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1AAF4-B6F1-4CAA-B32C-60C01F86AC16}" name="Pivot_Quarter_1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2" firstHeaderRow="1" firstDataRow="1" firstDataCol="2"/>
  <pivotFields count="6">
    <pivotField axis="axisRow" compact="0" outline="0" showAll="0">
      <items count="5">
        <item x="3"/>
        <item x="0"/>
        <item x="1"/>
        <item x="2"/>
        <item t="default"/>
      </items>
    </pivotField>
    <pivotField axis="axisRow" compact="0" outline="0" showAll="0">
      <items count="11">
        <item x="2"/>
        <item x="6"/>
        <item x="4"/>
        <item x="0"/>
        <item x="3"/>
        <item x="5"/>
        <item x="8"/>
        <item x="1"/>
        <item x="7"/>
        <item x="9"/>
        <item t="default"/>
      </items>
    </pivotField>
    <pivotField compact="0" numFmtId="44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2">
    <field x="0"/>
    <field x="1"/>
  </rowFields>
  <rowItems count="19">
    <i>
      <x/>
      <x/>
    </i>
    <i r="1">
      <x v="2"/>
    </i>
    <i r="1">
      <x v="9"/>
    </i>
    <i t="default">
      <x/>
    </i>
    <i>
      <x v="1"/>
      <x v="3"/>
    </i>
    <i r="1">
      <x v="6"/>
    </i>
    <i t="default">
      <x v="1"/>
    </i>
    <i>
      <x v="2"/>
      <x/>
    </i>
    <i r="1">
      <x v="1"/>
    </i>
    <i r="1">
      <x v="2"/>
    </i>
    <i r="1">
      <x v="4"/>
    </i>
    <i r="1">
      <x v="7"/>
    </i>
    <i r="1">
      <x v="8"/>
    </i>
    <i t="default">
      <x v="2"/>
    </i>
    <i>
      <x v="3"/>
      <x/>
    </i>
    <i r="1">
      <x v="5"/>
    </i>
    <i r="1">
      <x v="8"/>
    </i>
    <i t="default">
      <x v="3"/>
    </i>
    <i t="grand">
      <x/>
    </i>
  </rowItems>
  <colItems count="1">
    <i/>
  </colItems>
  <dataFields count="1">
    <dataField name="Sum of Total" fld="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51B9-83D5-4FC8-B0C6-EA26FFE1F69E}">
  <sheetPr codeName="Sheet140"/>
  <dimension ref="A1:F21"/>
  <sheetViews>
    <sheetView tabSelected="1" workbookViewId="0">
      <selection activeCell="K4" sqref="K4"/>
    </sheetView>
  </sheetViews>
  <sheetFormatPr defaultRowHeight="14.4" x14ac:dyDescent="0.55000000000000004"/>
  <cols>
    <col min="3" max="5" width="9.7890625" bestFit="1" customWidth="1"/>
    <col min="6" max="6" width="10.7890625" bestFit="1" customWidth="1"/>
  </cols>
  <sheetData>
    <row r="1" spans="1:6" ht="20.399999999999999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t="s">
        <v>6</v>
      </c>
      <c r="B2" t="s">
        <v>7</v>
      </c>
      <c r="C2" s="2">
        <v>1634.7099609375</v>
      </c>
      <c r="D2" s="2">
        <v>5053.7998046875</v>
      </c>
      <c r="E2" s="2">
        <v>3189.77001953125</v>
      </c>
      <c r="F2" s="2">
        <f>SUM(C2:E2)</f>
        <v>9878.27978515625</v>
      </c>
    </row>
    <row r="3" spans="1:6" x14ac:dyDescent="0.55000000000000004">
      <c r="A3" t="s">
        <v>8</v>
      </c>
      <c r="B3" t="s">
        <v>9</v>
      </c>
      <c r="C3" s="2">
        <v>4004.969970703125</v>
      </c>
      <c r="D3" s="2">
        <v>1806.22998046875</v>
      </c>
      <c r="E3" s="2">
        <v>2280.320068359375</v>
      </c>
      <c r="F3" s="2">
        <f>SUM(C3:E3)</f>
        <v>8091.52001953125</v>
      </c>
    </row>
    <row r="4" spans="1:6" x14ac:dyDescent="0.55000000000000004">
      <c r="A4" t="s">
        <v>10</v>
      </c>
      <c r="B4" t="s">
        <v>11</v>
      </c>
      <c r="C4" s="2">
        <v>4510.240234375</v>
      </c>
      <c r="D4" s="2">
        <v>1215.4200439453125</v>
      </c>
      <c r="E4" s="2">
        <v>3465.300048828125</v>
      </c>
      <c r="F4" s="2">
        <f>SUM(C4:E4)</f>
        <v>9190.9603271484375</v>
      </c>
    </row>
    <row r="5" spans="1:6" x14ac:dyDescent="0.55000000000000004">
      <c r="A5" t="s">
        <v>6</v>
      </c>
      <c r="B5" t="s">
        <v>12</v>
      </c>
      <c r="C5" s="2">
        <v>725.0999755859375</v>
      </c>
      <c r="D5" s="2">
        <v>3736.2900390625</v>
      </c>
      <c r="E5" s="2">
        <v>843.78997802734375</v>
      </c>
      <c r="F5" s="2">
        <f>SUM(C5:E5)</f>
        <v>5305.1799926757813</v>
      </c>
    </row>
    <row r="6" spans="1:6" x14ac:dyDescent="0.55000000000000004">
      <c r="A6" t="s">
        <v>10</v>
      </c>
      <c r="B6" t="s">
        <v>13</v>
      </c>
      <c r="C6" s="2">
        <v>4401.72998046875</v>
      </c>
      <c r="D6" s="2">
        <v>1685.5999755859375</v>
      </c>
      <c r="E6" s="2">
        <v>4745.7900390625</v>
      </c>
      <c r="F6" s="2">
        <f>SUM(C6:E6)</f>
        <v>10833.119995117188</v>
      </c>
    </row>
    <row r="7" spans="1:6" x14ac:dyDescent="0.55000000000000004">
      <c r="A7" t="s">
        <v>14</v>
      </c>
      <c r="B7" t="s">
        <v>15</v>
      </c>
      <c r="C7" s="2">
        <v>1927.8399658203125</v>
      </c>
      <c r="D7" s="2">
        <v>602.33001708984375</v>
      </c>
      <c r="E7" s="2">
        <v>4447.919921875</v>
      </c>
      <c r="F7" s="2">
        <f>SUM(C7:E7)</f>
        <v>6978.0899047851563</v>
      </c>
    </row>
    <row r="8" spans="1:6" x14ac:dyDescent="0.55000000000000004">
      <c r="A8" t="s">
        <v>10</v>
      </c>
      <c r="B8" t="s">
        <v>13</v>
      </c>
      <c r="C8" s="2">
        <v>456.39999389648438</v>
      </c>
      <c r="D8" s="2">
        <v>1405.5</v>
      </c>
      <c r="E8" s="2">
        <v>5059.35986328125</v>
      </c>
      <c r="F8" s="2">
        <f>SUM(C8:E8)</f>
        <v>6921.2598571777344</v>
      </c>
    </row>
    <row r="9" spans="1:6" x14ac:dyDescent="0.55000000000000004">
      <c r="A9" t="s">
        <v>6</v>
      </c>
      <c r="B9" t="s">
        <v>16</v>
      </c>
      <c r="C9" s="2">
        <v>4876.68994140625</v>
      </c>
      <c r="D9" s="2">
        <v>1590.3599853515625</v>
      </c>
      <c r="E9" s="2">
        <v>2605.06005859375</v>
      </c>
      <c r="F9" s="2">
        <f>SUM(C9:E9)</f>
        <v>9072.1099853515625</v>
      </c>
    </row>
    <row r="10" spans="1:6" x14ac:dyDescent="0.55000000000000004">
      <c r="A10" t="s">
        <v>10</v>
      </c>
      <c r="B10" t="s">
        <v>7</v>
      </c>
      <c r="C10" s="2">
        <v>3145.030029296875</v>
      </c>
      <c r="D10" s="2">
        <v>1658.0999755859375</v>
      </c>
      <c r="E10" s="2">
        <v>2471.10009765625</v>
      </c>
      <c r="F10" s="2">
        <f>SUM(C10:E10)</f>
        <v>7274.2301025390625</v>
      </c>
    </row>
    <row r="11" spans="1:6" x14ac:dyDescent="0.55000000000000004">
      <c r="A11" t="s">
        <v>14</v>
      </c>
      <c r="B11" t="s">
        <v>12</v>
      </c>
      <c r="C11" s="2">
        <v>1775.68994140625</v>
      </c>
      <c r="D11" s="2">
        <v>5127.3701171875</v>
      </c>
      <c r="E11" s="2">
        <v>4917.009765625</v>
      </c>
      <c r="F11" s="2">
        <f>SUM(C11:E11)</f>
        <v>11820.06982421875</v>
      </c>
    </row>
    <row r="12" spans="1:6" x14ac:dyDescent="0.55000000000000004">
      <c r="A12" t="s">
        <v>6</v>
      </c>
      <c r="B12" t="s">
        <v>17</v>
      </c>
      <c r="C12" s="2">
        <v>2711.6298828125</v>
      </c>
      <c r="D12" s="2">
        <v>2219.14990234375</v>
      </c>
      <c r="E12" s="2">
        <v>1130.3699951171875</v>
      </c>
      <c r="F12" s="2">
        <f>SUM(C12:E12)</f>
        <v>6061.1497802734375</v>
      </c>
    </row>
    <row r="13" spans="1:6" x14ac:dyDescent="0.55000000000000004">
      <c r="A13" t="s">
        <v>10</v>
      </c>
      <c r="B13" t="s">
        <v>17</v>
      </c>
      <c r="C13" s="2">
        <v>3990.5400390625</v>
      </c>
      <c r="D13" s="2">
        <v>3717.830078125</v>
      </c>
      <c r="E13" s="2">
        <v>4065.679931640625</v>
      </c>
      <c r="F13" s="2">
        <f>SUM(C13:E13)</f>
        <v>11774.050048828125</v>
      </c>
    </row>
    <row r="14" spans="1:6" x14ac:dyDescent="0.55000000000000004">
      <c r="A14" t="s">
        <v>8</v>
      </c>
      <c r="B14" t="s">
        <v>18</v>
      </c>
      <c r="C14" s="2">
        <v>923.989990234375</v>
      </c>
      <c r="D14" s="2">
        <v>3605.64990234375</v>
      </c>
      <c r="E14" s="2">
        <v>2025.199951171875</v>
      </c>
      <c r="F14" s="2">
        <f>SUM(C14:E14)</f>
        <v>6554.83984375</v>
      </c>
    </row>
    <row r="15" spans="1:6" x14ac:dyDescent="0.55000000000000004">
      <c r="A15" t="s">
        <v>6</v>
      </c>
      <c r="B15" t="s">
        <v>16</v>
      </c>
      <c r="C15" s="2">
        <v>4179.9501953125</v>
      </c>
      <c r="D15" s="2">
        <v>5049.60986328125</v>
      </c>
      <c r="E15" s="2">
        <v>4995.259765625</v>
      </c>
      <c r="F15" s="2">
        <f>SUM(C15:E15)</f>
        <v>14224.81982421875</v>
      </c>
    </row>
    <row r="16" spans="1:6" x14ac:dyDescent="0.55000000000000004">
      <c r="A16" t="s">
        <v>8</v>
      </c>
      <c r="B16" t="s">
        <v>9</v>
      </c>
      <c r="C16" s="2">
        <v>656.1199951171875</v>
      </c>
      <c r="D16" s="2">
        <v>828.30999755859375</v>
      </c>
      <c r="E16" s="2">
        <v>4225.009765625</v>
      </c>
      <c r="F16" s="2">
        <f>SUM(C16:E16)</f>
        <v>5709.4397583007813</v>
      </c>
    </row>
    <row r="17" spans="1:6" x14ac:dyDescent="0.55000000000000004">
      <c r="A17" t="s">
        <v>10</v>
      </c>
      <c r="B17" t="s">
        <v>11</v>
      </c>
      <c r="C17" s="2">
        <v>243.44999694824219</v>
      </c>
      <c r="D17" s="2">
        <v>2650.72998046875</v>
      </c>
      <c r="E17" s="2">
        <v>442.010009765625</v>
      </c>
      <c r="F17" s="2">
        <f>SUM(C17:E17)</f>
        <v>3336.1899871826172</v>
      </c>
    </row>
    <row r="18" spans="1:6" x14ac:dyDescent="0.55000000000000004">
      <c r="A18" t="s">
        <v>14</v>
      </c>
      <c r="B18" t="s">
        <v>12</v>
      </c>
      <c r="C18" s="2">
        <v>4084.1298828125</v>
      </c>
      <c r="D18" s="2">
        <v>1304.1700439453125</v>
      </c>
      <c r="E18" s="2">
        <v>3642.77001953125</v>
      </c>
      <c r="F18" s="2">
        <f>SUM(C18:E18)</f>
        <v>9031.0699462890625</v>
      </c>
    </row>
    <row r="19" spans="1:6" x14ac:dyDescent="0.55000000000000004">
      <c r="A19" t="s">
        <v>10</v>
      </c>
      <c r="B19" t="s">
        <v>12</v>
      </c>
      <c r="C19" s="2">
        <v>1241.739990234375</v>
      </c>
      <c r="D19" s="2">
        <v>628.1400146484375</v>
      </c>
      <c r="E19" s="2">
        <v>4217.89990234375</v>
      </c>
      <c r="F19" s="2">
        <f>SUM(C19:E19)</f>
        <v>6087.7799072265625</v>
      </c>
    </row>
    <row r="20" spans="1:6" x14ac:dyDescent="0.55000000000000004">
      <c r="A20" t="s">
        <v>10</v>
      </c>
      <c r="B20" t="s">
        <v>15</v>
      </c>
      <c r="C20" s="2">
        <v>1526.5</v>
      </c>
      <c r="D20" s="2">
        <v>835.57000732421875</v>
      </c>
      <c r="E20" s="2">
        <v>2598</v>
      </c>
      <c r="F20" s="2">
        <f>SUM(C20:E20)</f>
        <v>4960.0700073242188</v>
      </c>
    </row>
    <row r="21" spans="1:6" x14ac:dyDescent="0.55000000000000004">
      <c r="A21" t="s">
        <v>14</v>
      </c>
      <c r="B21" t="s">
        <v>19</v>
      </c>
      <c r="C21" s="2">
        <v>1696.050048828125</v>
      </c>
      <c r="D21" s="2">
        <v>3269.75</v>
      </c>
      <c r="E21" s="2">
        <v>4904.52001953125</v>
      </c>
      <c r="F21" s="2">
        <f>SUM(C21:E21)</f>
        <v>9870.320068359375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EDF8-EE22-4D85-A2FA-8029C920CA24}">
  <sheetPr codeName="Sheet141"/>
  <dimension ref="A1:G20"/>
  <sheetViews>
    <sheetView workbookViewId="0">
      <selection activeCell="F18" sqref="F18"/>
    </sheetView>
  </sheetViews>
  <sheetFormatPr defaultRowHeight="14.4" x14ac:dyDescent="0.55000000000000004"/>
  <cols>
    <col min="3" max="5" width="9.7890625" bestFit="1" customWidth="1"/>
    <col min="6" max="6" width="10.7890625" bestFit="1" customWidth="1"/>
    <col min="7" max="7" width="0" hidden="1" customWidth="1"/>
  </cols>
  <sheetData>
    <row r="1" spans="1:7" ht="20.399999999999999" x14ac:dyDescent="0.7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20</v>
      </c>
    </row>
    <row r="2" spans="1:7" x14ac:dyDescent="0.55000000000000004">
      <c r="A2" t="s">
        <v>8</v>
      </c>
      <c r="B2" t="s">
        <v>9</v>
      </c>
      <c r="C2" s="2">
        <v>4004.969970703125</v>
      </c>
      <c r="D2" s="2">
        <v>1806.22998046875</v>
      </c>
      <c r="E2" s="2">
        <v>2280.320068359375</v>
      </c>
      <c r="F2" s="2">
        <f>SUM(C2:E2)</f>
        <v>8091.52001953125</v>
      </c>
      <c r="G2" t="s">
        <v>21</v>
      </c>
    </row>
    <row r="3" spans="1:7" x14ac:dyDescent="0.55000000000000004">
      <c r="A3" t="s">
        <v>10</v>
      </c>
      <c r="B3" t="s">
        <v>11</v>
      </c>
      <c r="C3" s="2">
        <v>4510.240234375</v>
      </c>
      <c r="D3" s="2">
        <v>1215.4200439453125</v>
      </c>
      <c r="E3" s="2">
        <v>3465.300048828125</v>
      </c>
      <c r="F3" s="2">
        <f>SUM(C3:E3)</f>
        <v>9190.9603271484375</v>
      </c>
      <c r="G3" t="s">
        <v>22</v>
      </c>
    </row>
    <row r="4" spans="1:7" x14ac:dyDescent="0.55000000000000004">
      <c r="A4" t="s">
        <v>6</v>
      </c>
      <c r="B4" t="s">
        <v>12</v>
      </c>
      <c r="C4" s="2">
        <v>725.0999755859375</v>
      </c>
      <c r="D4" s="2">
        <v>3736.2900390625</v>
      </c>
      <c r="E4" s="2">
        <v>843.78997802734375</v>
      </c>
      <c r="F4" s="2">
        <f>SUM(C4:E4)</f>
        <v>5305.1799926757813</v>
      </c>
      <c r="G4" t="s">
        <v>23</v>
      </c>
    </row>
    <row r="5" spans="1:7" x14ac:dyDescent="0.55000000000000004">
      <c r="A5" t="s">
        <v>10</v>
      </c>
      <c r="B5" t="s">
        <v>13</v>
      </c>
      <c r="C5" s="2">
        <v>4401.72998046875</v>
      </c>
      <c r="D5" s="2">
        <v>1685.5999755859375</v>
      </c>
      <c r="E5" s="2">
        <v>4745.7900390625</v>
      </c>
      <c r="F5" s="2">
        <f>SUM(C5:E5)</f>
        <v>10833.119995117188</v>
      </c>
      <c r="G5" t="s">
        <v>24</v>
      </c>
    </row>
    <row r="6" spans="1:7" x14ac:dyDescent="0.55000000000000004">
      <c r="A6" t="s">
        <v>14</v>
      </c>
      <c r="B6" t="s">
        <v>15</v>
      </c>
      <c r="C6" s="2">
        <v>1927.8399658203125</v>
      </c>
      <c r="D6" s="2">
        <v>602.33001708984375</v>
      </c>
      <c r="E6" s="2">
        <v>4447.919921875</v>
      </c>
      <c r="F6" s="2">
        <f>SUM(C6:E6)</f>
        <v>6978.0899047851563</v>
      </c>
      <c r="G6" t="s">
        <v>25</v>
      </c>
    </row>
    <row r="7" spans="1:7" x14ac:dyDescent="0.55000000000000004">
      <c r="A7" t="s">
        <v>10</v>
      </c>
      <c r="B7" t="s">
        <v>13</v>
      </c>
      <c r="C7" s="2">
        <v>456.39999389648438</v>
      </c>
      <c r="D7" s="2">
        <v>1405.5</v>
      </c>
      <c r="E7" s="2">
        <v>5059.35986328125</v>
      </c>
      <c r="F7" s="2">
        <f>SUM(C7:E7)</f>
        <v>6921.2598571777344</v>
      </c>
      <c r="G7" t="s">
        <v>24</v>
      </c>
    </row>
    <row r="8" spans="1:7" x14ac:dyDescent="0.55000000000000004">
      <c r="A8" t="s">
        <v>6</v>
      </c>
      <c r="B8" t="s">
        <v>16</v>
      </c>
      <c r="C8" s="2">
        <v>4876.68994140625</v>
      </c>
      <c r="D8" s="2">
        <v>1590.3599853515625</v>
      </c>
      <c r="E8" s="2">
        <v>2605.06005859375</v>
      </c>
      <c r="F8" s="2">
        <f>SUM(C8:E8)</f>
        <v>9072.1099853515625</v>
      </c>
      <c r="G8" t="s">
        <v>26</v>
      </c>
    </row>
    <row r="9" spans="1:7" x14ac:dyDescent="0.55000000000000004">
      <c r="A9" t="s">
        <v>10</v>
      </c>
      <c r="B9" t="s">
        <v>7</v>
      </c>
      <c r="C9" s="2">
        <v>3145.030029296875</v>
      </c>
      <c r="D9" s="2">
        <v>1658.0999755859375</v>
      </c>
      <c r="E9" s="2">
        <v>2471.10009765625</v>
      </c>
      <c r="F9" s="2">
        <f>SUM(C9:E9)</f>
        <v>7274.2301025390625</v>
      </c>
      <c r="G9" t="s">
        <v>27</v>
      </c>
    </row>
    <row r="10" spans="1:7" x14ac:dyDescent="0.55000000000000004">
      <c r="A10" t="s">
        <v>14</v>
      </c>
      <c r="B10" t="s">
        <v>12</v>
      </c>
      <c r="C10" s="2">
        <v>1775.68994140625</v>
      </c>
      <c r="D10" s="2">
        <v>5127.3701171875</v>
      </c>
      <c r="E10" s="2">
        <v>4917.009765625</v>
      </c>
      <c r="F10" s="2">
        <f>SUM(C10:E10)</f>
        <v>11820.06982421875</v>
      </c>
      <c r="G10" t="s">
        <v>28</v>
      </c>
    </row>
    <row r="11" spans="1:7" x14ac:dyDescent="0.55000000000000004">
      <c r="A11" t="s">
        <v>6</v>
      </c>
      <c r="B11" t="s">
        <v>17</v>
      </c>
      <c r="C11" s="2">
        <v>2711.6298828125</v>
      </c>
      <c r="D11" s="2">
        <v>2219.14990234375</v>
      </c>
      <c r="E11" s="2">
        <v>1130.3699951171875</v>
      </c>
      <c r="F11" s="2">
        <f>SUM(C11:E11)</f>
        <v>6061.1497802734375</v>
      </c>
      <c r="G11" t="s">
        <v>29</v>
      </c>
    </row>
    <row r="12" spans="1:7" x14ac:dyDescent="0.55000000000000004">
      <c r="A12" t="s">
        <v>10</v>
      </c>
      <c r="B12" t="s">
        <v>17</v>
      </c>
      <c r="C12" s="2">
        <v>3990.5400390625</v>
      </c>
      <c r="D12" s="2">
        <v>3717.830078125</v>
      </c>
      <c r="E12" s="2">
        <v>4065.679931640625</v>
      </c>
      <c r="F12" s="2">
        <f>SUM(C12:E12)</f>
        <v>11774.050048828125</v>
      </c>
      <c r="G12" t="s">
        <v>30</v>
      </c>
    </row>
    <row r="13" spans="1:7" x14ac:dyDescent="0.55000000000000004">
      <c r="A13" t="s">
        <v>8</v>
      </c>
      <c r="B13" t="s">
        <v>18</v>
      </c>
      <c r="C13" s="2">
        <v>923.989990234375</v>
      </c>
      <c r="D13" s="2">
        <v>3605.64990234375</v>
      </c>
      <c r="E13" s="2">
        <v>2025.199951171875</v>
      </c>
      <c r="F13" s="2">
        <f>SUM(C13:E13)</f>
        <v>6554.83984375</v>
      </c>
      <c r="G13" t="s">
        <v>31</v>
      </c>
    </row>
    <row r="14" spans="1:7" x14ac:dyDescent="0.55000000000000004">
      <c r="A14" t="s">
        <v>6</v>
      </c>
      <c r="B14" t="s">
        <v>16</v>
      </c>
      <c r="C14" s="2">
        <v>4179.9501953125</v>
      </c>
      <c r="D14" s="2">
        <v>5049.60986328125</v>
      </c>
      <c r="E14" s="2">
        <v>4995.259765625</v>
      </c>
      <c r="F14" s="2">
        <f>SUM(C14:E14)</f>
        <v>14224.81982421875</v>
      </c>
      <c r="G14" t="s">
        <v>26</v>
      </c>
    </row>
    <row r="15" spans="1:7" x14ac:dyDescent="0.55000000000000004">
      <c r="A15" t="s">
        <v>8</v>
      </c>
      <c r="B15" t="s">
        <v>9</v>
      </c>
      <c r="C15" s="2">
        <v>656.1199951171875</v>
      </c>
      <c r="D15" s="2">
        <v>828.30999755859375</v>
      </c>
      <c r="E15" s="2">
        <v>4225.009765625</v>
      </c>
      <c r="F15" s="2">
        <f>SUM(C15:E15)</f>
        <v>5709.4397583007813</v>
      </c>
      <c r="G15" t="s">
        <v>21</v>
      </c>
    </row>
    <row r="16" spans="1:7" x14ac:dyDescent="0.55000000000000004">
      <c r="A16" t="s">
        <v>10</v>
      </c>
      <c r="B16" t="s">
        <v>11</v>
      </c>
      <c r="C16" s="2">
        <v>243.44999694824219</v>
      </c>
      <c r="D16" s="2">
        <v>2650.72998046875</v>
      </c>
      <c r="E16" s="2">
        <v>442.010009765625</v>
      </c>
      <c r="F16" s="2">
        <f>SUM(C16:E16)</f>
        <v>3336.1899871826172</v>
      </c>
      <c r="G16" t="s">
        <v>22</v>
      </c>
    </row>
    <row r="17" spans="1:7" x14ac:dyDescent="0.55000000000000004">
      <c r="A17" t="s">
        <v>14</v>
      </c>
      <c r="B17" t="s">
        <v>12</v>
      </c>
      <c r="C17" s="2">
        <v>4084.1298828125</v>
      </c>
      <c r="D17" s="2">
        <v>1304.1700439453125</v>
      </c>
      <c r="E17" s="2">
        <v>3642.77001953125</v>
      </c>
      <c r="F17" s="2">
        <f>SUM(C17:E17)</f>
        <v>9031.0699462890625</v>
      </c>
      <c r="G17" t="s">
        <v>28</v>
      </c>
    </row>
    <row r="18" spans="1:7" x14ac:dyDescent="0.55000000000000004">
      <c r="A18" t="s">
        <v>10</v>
      </c>
      <c r="B18" t="s">
        <v>12</v>
      </c>
      <c r="C18" s="2">
        <v>1241.739990234375</v>
      </c>
      <c r="D18" s="2">
        <v>628.1400146484375</v>
      </c>
      <c r="E18" s="2">
        <v>4217.89990234375</v>
      </c>
      <c r="F18" s="2">
        <f>SUM(C18:E18)</f>
        <v>6087.7799072265625</v>
      </c>
      <c r="G18" t="s">
        <v>32</v>
      </c>
    </row>
    <row r="19" spans="1:7" x14ac:dyDescent="0.55000000000000004">
      <c r="A19" t="s">
        <v>10</v>
      </c>
      <c r="B19" t="s">
        <v>15</v>
      </c>
      <c r="C19" s="2">
        <v>1526.5</v>
      </c>
      <c r="D19" s="2">
        <v>835.57000732421875</v>
      </c>
      <c r="E19" s="2">
        <v>2598</v>
      </c>
      <c r="F19" s="2">
        <f>SUM(C19:E19)</f>
        <v>4960.0700073242188</v>
      </c>
      <c r="G19" t="s">
        <v>33</v>
      </c>
    </row>
    <row r="20" spans="1:7" x14ac:dyDescent="0.55000000000000004">
      <c r="A20" t="s">
        <v>14</v>
      </c>
      <c r="B20" t="s">
        <v>19</v>
      </c>
      <c r="C20" s="2">
        <v>1696.050048828125</v>
      </c>
      <c r="D20" s="2">
        <v>3269.75</v>
      </c>
      <c r="E20" s="2">
        <v>4904.52001953125</v>
      </c>
      <c r="F20" s="2">
        <f>SUM(C20:E20)</f>
        <v>9870.320068359375</v>
      </c>
      <c r="G2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A458-49B0-47D1-A959-3593473565A5}">
  <sheetPr codeName="Sheet142"/>
  <dimension ref="A3:C22"/>
  <sheetViews>
    <sheetView workbookViewId="0">
      <selection activeCell="F18" sqref="F18"/>
    </sheetView>
  </sheetViews>
  <sheetFormatPr defaultRowHeight="14.4" x14ac:dyDescent="0.55000000000000004"/>
  <cols>
    <col min="1" max="1" width="20.83984375" bestFit="1" customWidth="1"/>
    <col min="2" max="2" width="15.47265625" bestFit="1" customWidth="1"/>
    <col min="3" max="3" width="12" bestFit="1" customWidth="1"/>
  </cols>
  <sheetData>
    <row r="3" spans="1:3" x14ac:dyDescent="0.55000000000000004">
      <c r="A3" t="s">
        <v>0</v>
      </c>
      <c r="B3" t="s">
        <v>1</v>
      </c>
      <c r="C3" t="s">
        <v>35</v>
      </c>
    </row>
    <row r="4" spans="1:3" x14ac:dyDescent="0.55000000000000004">
      <c r="A4" t="s">
        <v>14</v>
      </c>
      <c r="B4" t="s">
        <v>12</v>
      </c>
      <c r="C4" s="4">
        <v>20851.139770507813</v>
      </c>
    </row>
    <row r="5" spans="1:3" x14ac:dyDescent="0.55000000000000004">
      <c r="B5" t="s">
        <v>15</v>
      </c>
      <c r="C5" s="4">
        <v>6978.0899047851563</v>
      </c>
    </row>
    <row r="6" spans="1:3" x14ac:dyDescent="0.55000000000000004">
      <c r="B6" t="s">
        <v>19</v>
      </c>
      <c r="C6" s="4">
        <v>9870.320068359375</v>
      </c>
    </row>
    <row r="7" spans="1:3" x14ac:dyDescent="0.55000000000000004">
      <c r="A7" t="s">
        <v>36</v>
      </c>
      <c r="C7" s="4">
        <v>37699.549743652344</v>
      </c>
    </row>
    <row r="8" spans="1:3" x14ac:dyDescent="0.55000000000000004">
      <c r="A8" t="s">
        <v>8</v>
      </c>
      <c r="B8" t="s">
        <v>9</v>
      </c>
      <c r="C8" s="4">
        <v>13800.959777832031</v>
      </c>
    </row>
    <row r="9" spans="1:3" x14ac:dyDescent="0.55000000000000004">
      <c r="B9" t="s">
        <v>18</v>
      </c>
      <c r="C9" s="4">
        <v>6554.83984375</v>
      </c>
    </row>
    <row r="10" spans="1:3" x14ac:dyDescent="0.55000000000000004">
      <c r="A10" t="s">
        <v>37</v>
      </c>
      <c r="C10" s="4">
        <v>20355.799621582031</v>
      </c>
    </row>
    <row r="11" spans="1:3" x14ac:dyDescent="0.55000000000000004">
      <c r="A11" t="s">
        <v>10</v>
      </c>
      <c r="B11" t="s">
        <v>12</v>
      </c>
      <c r="C11" s="4">
        <v>6087.7799072265625</v>
      </c>
    </row>
    <row r="12" spans="1:3" x14ac:dyDescent="0.55000000000000004">
      <c r="B12" t="s">
        <v>7</v>
      </c>
      <c r="C12" s="4">
        <v>7274.2301025390625</v>
      </c>
    </row>
    <row r="13" spans="1:3" x14ac:dyDescent="0.55000000000000004">
      <c r="B13" t="s">
        <v>15</v>
      </c>
      <c r="C13" s="4">
        <v>4960.0700073242188</v>
      </c>
    </row>
    <row r="14" spans="1:3" x14ac:dyDescent="0.55000000000000004">
      <c r="B14" t="s">
        <v>13</v>
      </c>
      <c r="C14" s="4">
        <v>17754.379852294922</v>
      </c>
    </row>
    <row r="15" spans="1:3" x14ac:dyDescent="0.55000000000000004">
      <c r="B15" t="s">
        <v>11</v>
      </c>
      <c r="C15" s="4">
        <v>12527.150314331055</v>
      </c>
    </row>
    <row r="16" spans="1:3" x14ac:dyDescent="0.55000000000000004">
      <c r="B16" t="s">
        <v>17</v>
      </c>
      <c r="C16" s="4">
        <v>11774.050048828125</v>
      </c>
    </row>
    <row r="17" spans="1:3" x14ac:dyDescent="0.55000000000000004">
      <c r="A17" t="s">
        <v>38</v>
      </c>
      <c r="C17" s="4">
        <v>60377.660232543945</v>
      </c>
    </row>
    <row r="18" spans="1:3" x14ac:dyDescent="0.55000000000000004">
      <c r="A18" t="s">
        <v>6</v>
      </c>
      <c r="B18" t="s">
        <v>12</v>
      </c>
      <c r="C18" s="4">
        <v>5305.1799926757813</v>
      </c>
    </row>
    <row r="19" spans="1:3" x14ac:dyDescent="0.55000000000000004">
      <c r="B19" t="s">
        <v>16</v>
      </c>
      <c r="C19" s="4">
        <v>23296.929809570313</v>
      </c>
    </row>
    <row r="20" spans="1:3" x14ac:dyDescent="0.55000000000000004">
      <c r="B20" t="s">
        <v>17</v>
      </c>
      <c r="C20" s="4">
        <v>6061.1497802734375</v>
      </c>
    </row>
    <row r="21" spans="1:3" x14ac:dyDescent="0.55000000000000004">
      <c r="A21" t="s">
        <v>39</v>
      </c>
      <c r="C21" s="4">
        <v>34663.259582519531</v>
      </c>
    </row>
    <row r="22" spans="1:3" x14ac:dyDescent="0.55000000000000004">
      <c r="A22" t="s">
        <v>40</v>
      </c>
      <c r="C22" s="4">
        <v>153096.26918029785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 Quarter 1 Expenses_1</vt:lpstr>
      <vt:lpstr>Quarter 1 Expenses</vt:lpstr>
      <vt:lpstr>Pivot Table for Quarter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 Vorsina</dc:creator>
  <cp:lastModifiedBy>Daria Vorsina</cp:lastModifiedBy>
  <dcterms:created xsi:type="dcterms:W3CDTF">2026-02-27T07:14:57Z</dcterms:created>
  <dcterms:modified xsi:type="dcterms:W3CDTF">2026-02-27T07:33:22Z</dcterms:modified>
</cp:coreProperties>
</file>